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2a5b4f9d664a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nual benchmark audit" sheetId="1" r:id="R39bf922810dc4388"/>
    <x:sheet xmlns:r="http://schemas.openxmlformats.org/officeDocument/2006/relationships" name="Rule conclusions" sheetId="2" r:id="R340639967fdf48d1"/>
    <x:sheet xmlns:r="http://schemas.openxmlformats.org/officeDocument/2006/relationships" name="Ontology terms" sheetId="3" r:id="Rb8650ec4c9854a26"/>
    <x:sheet xmlns:r="http://schemas.openxmlformats.org/officeDocument/2006/relationships" name="Paper benchmark" sheetId="4" r:id="R7e588d48f6d24114"/>
    <x:sheet xmlns:r="http://schemas.openxmlformats.org/officeDocument/2006/relationships" name="Negative controls" sheetId="5" r:id="R7d322b0f6b324de0"/>
    <x:sheet xmlns:r="http://schemas.openxmlformats.org/officeDocument/2006/relationships" name="Evaluation plan" sheetId="6" r:id="R918de8d25a79481b"/>
    <x:sheet xmlns:r="http://schemas.openxmlformats.org/officeDocument/2006/relationships" name="Rule evaluation" sheetId="7" r:id="R1659a5aa4b2a452a"/>
    <x:sheet xmlns:r="http://schemas.openxmlformats.org/officeDocument/2006/relationships" name="Metrics" sheetId="8" r:id="R7bc26ea3d1e74b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9">
    <x:dxf>
      <x:fill>
        <x:patternFill>
          <x:bgColor rgb="FFD9EAD3"/>
        </x:patternFill>
      </x:fill>
    </x:dxf>
    <x:dxf>
      <x:fill>
        <x:patternFill>
          <x:bgColor rgb="FFFCE5CD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5CD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d08cce1c15498b" /><Relationship Type="http://schemas.openxmlformats.org/officeDocument/2006/relationships/theme" Target="/xl/theme/theme1.xml" Id="R685a1cbb2f7c4f69" /><Relationship Type="http://schemas.openxmlformats.org/officeDocument/2006/relationships/sharedStrings" Target="/xl/sharedStrings.xml" Id="Rf024ec0c943c43a8" /><Relationship Type="http://schemas.openxmlformats.org/officeDocument/2006/relationships/worksheet" Target="/xl/worksheets/sheet1.xml" Id="R39bf922810dc4388" /><Relationship Type="http://schemas.openxmlformats.org/officeDocument/2006/relationships/worksheet" Target="/xl/worksheets/sheet2.xml" Id="R340639967fdf48d1" /><Relationship Type="http://schemas.openxmlformats.org/officeDocument/2006/relationships/worksheet" Target="/xl/worksheets/sheet3.xml" Id="Rb8650ec4c9854a26" /><Relationship Type="http://schemas.openxmlformats.org/officeDocument/2006/relationships/worksheet" Target="/xl/worksheets/sheet4.xml" Id="R7e588d48f6d24114" /><Relationship Type="http://schemas.openxmlformats.org/officeDocument/2006/relationships/worksheet" Target="/xl/worksheets/sheet5.xml" Id="R7d322b0f6b324de0" /><Relationship Type="http://schemas.openxmlformats.org/officeDocument/2006/relationships/worksheet" Target="/xl/worksheets/sheet6.xml" Id="R918de8d25a79481b" /><Relationship Type="http://schemas.openxmlformats.org/officeDocument/2006/relationships/worksheet" Target="/xl/worksheets/sheet7.xml" Id="R1659a5aa4b2a452a" /><Relationship Type="http://schemas.openxmlformats.org/officeDocument/2006/relationships/worksheet" Target="/xl/worksheets/sheet8.xml" Id="R7bc26ea3d1e74ba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8718782bafa4c4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Candidate rule performance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'Metrics'!$A$5:$A$7</c:f>
              <c:strCache>
                <c:ptCount val="0"/>
              </c:strCache>
            </c:strRef>
          </c:cat>
          <c:val>
            <c:numRef>
              <c:f>'Metrics'!$B$5:$B$7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Series 2</c:v>
          </c:tx>
          <c:cat>
            <c:strRef>
              <c:f>'Metrics'!$A$5:$A$7</c:f>
              <c:strCache>
                <c:ptCount val="0"/>
              </c:strCache>
            </c:strRef>
          </c:cat>
          <c:val>
            <c:numRef>
              <c:f>'Metrics'!$C$5:$C$7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Series 3</c:v>
          </c:tx>
          <c:cat>
            <c:strRef>
              <c:f>'Metrics'!$A$5:$A$7</c:f>
              <c:strCache>
                <c:ptCount val="0"/>
              </c:strCache>
            </c:strRef>
          </c:cat>
          <c:val>
            <c:numRef>
              <c:f>'Metrics'!$D$5:$D$7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Series 4</c:v>
          </c:tx>
          <c:cat>
            <c:strRef>
              <c:f>'Metrics'!$A$5:$A$7</c:f>
              <c:strCache>
                <c:ptCount val="0"/>
              </c:strCache>
            </c:strRef>
          </c:cat>
          <c:val>
            <c:numRef>
              <c:f>'Metrics'!$E$5:$E$7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8718782bafa4c4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1.xml" Id="Rf8ce5d831557476e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7" hidden="0" customWidth="1"/>
    <x:col min="3" max="3" width="12" hidden="0" customWidth="1"/>
    <x:col min="4" max="4" width="22" hidden="0" customWidth="1"/>
    <x:col min="5" max="5" width="24" hidden="0" customWidth="1"/>
    <x:col min="6" max="6" width="42" hidden="0" customWidth="1"/>
    <x:col min="7" max="7" width="22" hidden="0" customWidth="1"/>
    <x:col min="8" max="8" width="28" hidden="0" customWidth="1"/>
    <x:col min="9" max="9" width="32" hidden="0" customWidth="1"/>
    <x:col min="10" max="10" width="48" hidden="0" customWidth="1"/>
    <x:col min="11" max="11" width="46" hidden="0" customWidth="1"/>
  </x:cols>
  <x:sheetData>
    <x:row r="1">
      <x:c r="A1" s="10" t="str">
        <x:v>Compound</x:v>
      </x:c>
      <x:c r="B1" s="10" t="str">
        <x:v>PDB examples</x:v>
      </x:c>
      <x:c r="C1" s="10" t="str">
        <x:v>Manual count</x:v>
      </x:c>
      <x:c r="D1" s="10" t="str">
        <x:v>Entity type</x:v>
      </x:c>
      <x:c r="E1" s="10" t="str">
        <x:v>ChEBI ID</x:v>
      </x:c>
      <x:c r="F1" s="10" t="str">
        <x:v>Antibiotic/class evidence</x:v>
      </x:c>
      <x:c r="G1" s="10" t="str">
        <x:v>Antibacterial drug role</x:v>
      </x:c>
      <x:c r="H1" s="10" t="str">
        <x:v>Antibacterial/antimicrobial role</x:v>
      </x:c>
      <x:c r="I1" s="10" t="str">
        <x:v>Audit outcome</x:v>
      </x:c>
      <x:c r="J1" s="10" t="str">
        <x:v>Why it matters</x:v>
      </x:c>
      <x:c r="K1" s="10" t="str">
        <x:v>Source URL</x:v>
      </x:c>
    </x:row>
    <x:row r="2">
      <x:c r="A2" s="11" t="str">
        <x:v>Apidaecin</x:v>
      </x:c>
      <x:c r="B2" s="11" t="str">
        <x:v>5O2R, 6GWT, 6GXM, 6GXN, 6GXO</x:v>
      </x:c>
      <x:c r="C2" s="11" t="n">
        <x:v>5</x:v>
      </x:c>
      <x:c r="D2" s="11" t="str">
        <x:v>antimicrobial peptide</x:v>
      </x:c>
      <x:c r="E2" s="11" t="str">
        <x:v>Polymeric peptide / not handled as ordinary CCD small molecule here</x:v>
      </x:c>
      <x:c r="F2" s="11" t="str">
        <x:v>Peptide bound to ribosome; should be a separate peptide-antibiotic/AMP pathway</x:v>
      </x:c>
      <x:c r="G2" s="11" t="str">
        <x:v>N/A</x:v>
      </x:c>
      <x:c r="H2" s="11" t="str">
        <x:v>N/A</x:v>
      </x:c>
      <x:c r="I2" s="11" t="str">
        <x:v>Separate peptide track</x:v>
      </x:c>
      <x:c r="J2" s="11" t="str">
        <x:v>Do not mix polymeric peptides into the small-molecule CCD classifier.</x:v>
      </x:c>
      <x:c r="K2" s="11" t="str"/>
    </x:row>
    <x:row r="3">
      <x:c r="A3" s="11" t="str">
        <x:v>Avilamycin C</x:v>
      </x:c>
      <x:c r="B3" s="11" t="str">
        <x:v>5KCR</x:v>
      </x:c>
      <x:c r="C3" s="11" t="n">
        <x:v>1</x:v>
      </x:c>
      <x:c r="D3" s="11" t="str">
        <x:v>small molecule</x:v>
      </x:c>
      <x:c r="E3" s="11" t="str">
        <x:v>Exact C-form not resolved</x:v>
      </x:c>
      <x:c r="F3" s="11" t="str">
        <x:v>Avilamycin A maps to CHEBI:85646; exact avilamycin C mapping not resolved</x:v>
      </x:c>
      <x:c r="G3" s="11" t="str">
        <x:v>Not verified</x:v>
      </x:c>
      <x:c r="H3" s="11" t="str">
        <x:v>Not verified</x:v>
      </x:c>
      <x:c r="I3" s="11" t="str">
        <x:v>Known antibiotic; exact-form mapping needed</x:v>
      </x:c>
      <x:c r="J3" s="11" t="str">
        <x:v>Do not map C to A by name alone; use CCD/InChIKey.</x:v>
      </x:c>
      <x:c r="K3" s="11" t="str">
        <x:v>https://pubchem.ncbi.nlm.nih.gov/compound/Avilamycin-A</x:v>
      </x:c>
    </x:row>
    <x:row r="4">
      <x:c r="A4" s="11" t="str">
        <x:v>CEM-101</x:v>
      </x:c>
      <x:c r="B4" s="11" t="str">
        <x:v>4WWW</x:v>
      </x:c>
      <x:c r="C4" s="11" t="n">
        <x:v>1</x:v>
      </x:c>
      <x:c r="D4" s="11" t="str">
        <x:v>small molecule</x:v>
      </x:c>
      <x:c r="E4" s="11" t="str">
        <x:v>No ChEBI ID found in this audit</x:v>
      </x:c>
      <x:c r="F4" s="11" t="str">
        <x:v>CEM-101 is solithromycin, a ketolide antibiotic, but current cross-database pages do not expose a ChEBI identifier</x:v>
      </x:c>
      <x:c r="G4" s="11" t="str">
        <x:v>N/A</x:v>
      </x:c>
      <x:c r="H4" s="11" t="str">
        <x:v>N/A</x:v>
      </x:c>
      <x:c r="I4" s="11" t="str">
        <x:v>Known antibiotic; ChEBI-only classifier would miss</x:v>
      </x:c>
      <x:c r="J4" s="11" t="str">
        <x:v>Important failure mode: no ChEBI mapping. Add ChEMBL/DrugBank/PubChem fallback.</x:v>
      </x:c>
      <x:c r="K4" s="11" t="str">
        <x:v>https://pubchem.ncbi.nlm.nih.gov/compound/Solithromycin</x:v>
      </x:c>
    </x:row>
    <x:row r="5">
      <x:c r="A5" s="11" t="str">
        <x:v>Chloramphenicol</x:v>
      </x:c>
      <x:c r="B5" s="11" t="str">
        <x:v>3JBV, 4V7T</x:v>
      </x:c>
      <x:c r="C5" s="11" t="n">
        <x:v>2</x:v>
      </x:c>
      <x:c r="D5" s="11" t="str">
        <x:v>small molecule</x:v>
      </x:c>
      <x:c r="E5" s="11" t="str">
        <x:v>CHEBI:17698</x:v>
      </x:c>
      <x:c r="F5" s="11" t="str">
        <x:v>No antibiotic-named structural parent verified; chemical classes include organochlorine compound/diol</x:v>
      </x:c>
      <x:c r="G5" s="11" t="str">
        <x:v>Yes</x:v>
      </x:c>
      <x:c r="H5" s="11" t="str">
        <x:v>Yes</x:v>
      </x:c>
      <x:c r="I5" s="11" t="str">
        <x:v>High-confidence antibiotic via role</x:v>
      </x:c>
      <x:c r="J5" s="11" t="str">
        <x:v>Key evidence that role terms are needed in addition to antibiotic-class ancestry.</x:v>
      </x:c>
      <x:c r="K5" s="11" t="str">
        <x:v>https://www.ebi.ac.uk/chebi/CHEBI%3A36047</x:v>
      </x:c>
    </x:row>
    <x:row r="6">
      <x:c r="A6" s="11" t="str">
        <x:v>Clindamycin</x:v>
      </x:c>
      <x:c r="B6" s="11" t="str">
        <x:v>4V7V</x:v>
      </x:c>
      <x:c r="C6" s="11" t="n">
        <x:v>1</x:v>
      </x:c>
      <x:c r="D6" s="11" t="str">
        <x:v>small molecule</x:v>
      </x:c>
      <x:c r="E6" s="11" t="str">
        <x:v>CHEBI:3745</x:v>
      </x:c>
      <x:c r="F6" s="11" t="str">
        <x:v>Lincosamide antibiotic biologically; exact ChEBI antibiotic-parent relation not verified here</x:v>
      </x:c>
      <x:c r="G6" s="11" t="str">
        <x:v>Not verified</x:v>
      </x:c>
      <x:c r="H6" s="11" t="str">
        <x:v>Not verified</x:v>
      </x:c>
      <x:c r="I6" s="11" t="str">
        <x:v>Known antibiotic; mapping verified</x:v>
      </x:c>
      <x:c r="J6" s="11" t="str">
        <x:v>PDB ligand CLY maps to clindamycin; ontology role still needs machine retrieval.</x:v>
      </x:c>
      <x:c r="K6" s="11" t="str">
        <x:v>https://www.guidetoimmunopharmacology.org/GRAC/LigandDisplayForward?ligandId=10607</x:v>
      </x:c>
    </x:row>
    <x:row r="7">
      <x:c r="A7" s="11" t="str">
        <x:v>Dalfopristin</x:v>
      </x:c>
      <x:c r="B7" s="11" t="str">
        <x:v>4U24, 4U26</x:v>
      </x:c>
      <x:c r="C7" s="11" t="n">
        <x:v>2</x:v>
      </x:c>
      <x:c r="D7" s="11" t="str">
        <x:v>small molecule</x:v>
      </x:c>
      <x:c r="E7" s="11" t="str">
        <x:v>CHEBI:4309</x:v>
      </x:c>
      <x:c r="F7" s="11" t="str">
        <x:v>Structural classes returned are generic (enamide/sulfone) in search</x:v>
      </x:c>
      <x:c r="G7" s="11" t="str">
        <x:v>Yes</x:v>
      </x:c>
      <x:c r="H7" s="11" t="str">
        <x:v>Likely</x:v>
      </x:c>
      <x:c r="I7" s="11" t="str">
        <x:v>High-confidence antibiotic via role</x:v>
      </x:c>
      <x:c r="J7" s="11" t="str">
        <x:v>Useful role-positive / class-weak case.</x:v>
      </x:c>
      <x:c r="K7" s="11" t="str">
        <x:v>https://www.ebi.ac.uk/chebi/CHEBI%3A36047</x:v>
      </x:c>
    </x:row>
    <x:row r="8">
      <x:c r="A8" s="11" t="str">
        <x:v>ErmBL</x:v>
      </x:c>
      <x:c r="B8" s="11" t="str">
        <x:v>5JTE, 5JU8</x:v>
      </x:c>
      <x:c r="C8" s="11" t="n">
        <x:v>2</x:v>
      </x:c>
      <x:c r="D8" s="11" t="str">
        <x:v>nascent regulatory peptide</x:v>
      </x:c>
      <x:c r="E8" s="11" t="str">
        <x:v>N/A</x:v>
      </x:c>
      <x:c r="F8" s="11" t="str">
        <x:v>Not an antibiotic; peptide involved in antibiotic-responsive stalling</x:v>
      </x:c>
      <x:c r="G8" s="11" t="str">
        <x:v>No</x:v>
      </x:c>
      <x:c r="H8" s="11" t="str">
        <x:v>No</x:v>
      </x:c>
      <x:c r="I8" s="11" t="str">
        <x:v>Not antibiotic</x:v>
      </x:c>
      <x:c r="J8" s="11" t="str">
        <x:v>Manual 'Antibiotics/Peptide bound' column intentionally contains non-antibiotic peptides.</x:v>
      </x:c>
      <x:c r="K8" s="11" t="str"/>
    </x:row>
    <x:row r="9">
      <x:c r="A9" s="11" t="str">
        <x:v>Erythromycin A</x:v>
      </x:c>
      <x:c r="B9" s="11" t="str">
        <x:v>4V7U, 5JTE, 5JU8</x:v>
      </x:c>
      <x:c r="C9" s="11" t="n">
        <x:v>3</x:v>
      </x:c>
      <x:c r="D9" s="11" t="str">
        <x:v>small molecule</x:v>
      </x:c>
      <x:c r="E9" s="11" t="str">
        <x:v>CHEBI:42355</x:v>
      </x:c>
      <x:c r="F9" s="11" t="str">
        <x:v>ChEBI exposes antimicrobial-agent role via macrolide antibiotic</x:v>
      </x:c>
      <x:c r="G9" s="11" t="str">
        <x:v>Not explicit on retrieved page</x:v>
      </x:c>
      <x:c r="H9" s="11" t="str">
        <x:v>Antimicrobial</x:v>
      </x:c>
      <x:c r="I9" s="11" t="str">
        <x:v>High-confidence antibiotic via class</x:v>
      </x:c>
      <x:c r="J9" s="11" t="str">
        <x:v>Good example where class ancestry can be more informative than direct drug-role display.</x:v>
      </x:c>
      <x:c r="K9" s="11" t="str">
        <x:v>https://www.ebi.ac.uk/chebi/searchId.do?chebiId=CHEBI%3A42355</x:v>
      </x:c>
    </x:row>
    <x:row r="10">
      <x:c r="A10" s="11" t="str">
        <x:v>Evernimycin</x:v>
      </x:c>
      <x:c r="B10" s="11" t="str">
        <x:v>5KCS</x:v>
      </x:c>
      <x:c r="C10" s="11" t="n">
        <x:v>1</x:v>
      </x:c>
      <x:c r="D10" s="11" t="str">
        <x:v>small molecule</x:v>
      </x:c>
      <x:c r="E10" s="11" t="str">
        <x:v>Likely CHEBI:29581 (everninomicin)</x:v>
      </x:c>
      <x:c r="F10" s="11" t="str">
        <x:v>Name/spelling normalization issue; exact entity should be confirmed by CCD/InChIKey</x:v>
      </x:c>
      <x:c r="G10" s="11" t="str">
        <x:v>Not verified</x:v>
      </x:c>
      <x:c r="H10" s="11" t="str">
        <x:v>Not verified</x:v>
      </x:c>
      <x:c r="I10" s="11" t="str">
        <x:v>Known antibiotic; identity normalization needed</x:v>
      </x:c>
      <x:c r="J10" s="11" t="str">
        <x:v>Manual sheet says Evernimycin; literature/PDB often uses evernimicin/everninomicin.</x:v>
      </x:c>
      <x:c r="K10" s="11" t="str">
        <x:v>https://bacdive.dsmz.de/strain/7884</x:v>
      </x:c>
    </x:row>
    <x:row r="11">
      <x:c r="A11" s="11" t="str">
        <x:v>Flopristin</x:v>
      </x:c>
      <x:c r="B11" s="11" t="str">
        <x:v>4U20, 4U27</x:v>
      </x:c>
      <x:c r="C11" s="11" t="n">
        <x:v>2</x:v>
      </x:c>
      <x:c r="D11" s="11" t="str">
        <x:v>small molecule</x:v>
      </x:c>
      <x:c r="E11" s="11" t="str">
        <x:v>No reliable ChEBI mapping found</x:v>
      </x:c>
      <x:c r="F11" s="11" t="str">
        <x:v>Streptogramin-family antibiotic biologically; no reliable ChEBI entry surfaced</x:v>
      </x:c>
      <x:c r="G11" s="11" t="str">
        <x:v>N/A</x:v>
      </x:c>
      <x:c r="H11" s="11" t="str">
        <x:v>N/A</x:v>
      </x:c>
      <x:c r="I11" s="11" t="str">
        <x:v>Known antibiotic; ChEBI-only classifier may miss</x:v>
      </x:c>
      <x:c r="J11" s="11" t="str">
        <x:v>Use exact PDB CCD + InChIKey and fallback databases.</x:v>
      </x:c>
      <x:c r="K11" s="11" t="str"/>
    </x:row>
    <x:row r="12">
      <x:c r="A12" s="11" t="str">
        <x:v>Gentamycin</x:v>
      </x:c>
      <x:c r="B12" s="11" t="str">
        <x:v>4V53, 4V55</x:v>
      </x:c>
      <x:c r="C12" s="11" t="n">
        <x:v>2</x:v>
      </x:c>
      <x:c r="D12" s="11" t="str">
        <x:v>mixture/family</x:v>
      </x:c>
      <x:c r="E12" s="11" t="str">
        <x:v>CHEBI:17833</x:v>
      </x:c>
      <x:c r="F12" s="11" t="str">
        <x:v>Individual gentamicin components map under gentamycin/gentamycin C; antibiotic-named parent not verified</x:v>
      </x:c>
      <x:c r="G12" s="11" t="str">
        <x:v>Not verified</x:v>
      </x:c>
      <x:c r="H12" s="11" t="str">
        <x:v>Antimicrobial (components)</x:v>
      </x:c>
      <x:c r="I12" s="11" t="str">
        <x:v>Known antibiotic; family/mixture complication</x:v>
      </x:c>
      <x:c r="J12" s="11" t="str">
        <x:v>PDB may contain a specific component rather than the family mixture; classify the exact CCD/ChEBI entity.</x:v>
      </x:c>
      <x:c r="K12" s="11" t="str">
        <x:v>https://www.ebi.ac.uk/chebi/CHEBI%3A28418</x:v>
      </x:c>
    </x:row>
    <x:row r="13">
      <x:c r="A13" s="11" t="str">
        <x:v>Hygromycin B</x:v>
      </x:c>
      <x:c r="B13" s="11" t="str">
        <x:v>4V64</x:v>
      </x:c>
      <x:c r="C13" s="11" t="n">
        <x:v>1</x:v>
      </x:c>
      <x:c r="D13" s="11" t="str">
        <x:v>small molecule</x:v>
      </x:c>
      <x:c r="E13" s="11" t="str">
        <x:v>CHEBI:16976</x:v>
      </x:c>
      <x:c r="F13" s="11" t="str">
        <x:v>Exact antibiotic-class parent not visible in retrieved ChEBI material</x:v>
      </x:c>
      <x:c r="G13" s="11" t="str">
        <x:v>Not verified</x:v>
      </x:c>
      <x:c r="H13" s="11" t="str">
        <x:v>Not verified</x:v>
      </x:c>
      <x:c r="I13" s="11" t="str">
        <x:v>Known antibiotic; ontology evidence incomplete</x:v>
      </x:c>
      <x:c r="J13" s="11" t="str">
        <x:v>Another useful test that may require role/definition or a curated root/exception.</x:v>
      </x:c>
      <x:c r="K13" s="11" t="str">
        <x:v>https://amigo.geneontology.org/amigo/term/CHEBI%3A16976</x:v>
      </x:c>
    </x:row>
    <x:row r="14">
      <x:c r="A14" s="11" t="str">
        <x:v>Kasugamycin</x:v>
      </x:c>
      <x:c r="B14" s="11" t="str">
        <x:v>4V4H</x:v>
      </x:c>
      <x:c r="C14" s="11" t="n">
        <x:v>1</x:v>
      </x:c>
      <x:c r="D14" s="11" t="str">
        <x:v>small molecule</x:v>
      </x:c>
      <x:c r="E14" s="11" t="str">
        <x:v>CHEBI:81419</x:v>
      </x:c>
      <x:c r="F14" s="11" t="str">
        <x:v>is_a aminoglycoside antibiotic (CHEBI:22507); also antibiotic fungicide</x:v>
      </x:c>
      <x:c r="G14" s="11" t="str">
        <x:v>No direct antibacterial-drug role shown</x:v>
      </x:c>
      <x:c r="H14" s="11" t="str">
        <x:v>Antimicrobial; protein synthesis inhibitor</x:v>
      </x:c>
      <x:c r="I14" s="11" t="str">
        <x:v>High-confidence antibiotic via class</x:v>
      </x:c>
      <x:c r="J14" s="11" t="str">
        <x:v>Strong example for ontology-class ancestry.</x:v>
      </x:c>
      <x:c r="K14" s="11" t="str">
        <x:v>https://www.ebi.ac.uk/chebi/CHEBI%3A81419</x:v>
      </x:c>
    </x:row>
    <x:row r="15">
      <x:c r="A15" s="11" t="str">
        <x:v>Kirromycin</x:v>
      </x:c>
      <x:c r="B15" s="11" t="str">
        <x:v>5AFI</x:v>
      </x:c>
      <x:c r="C15" s="11" t="n">
        <x:v>1</x:v>
      </x:c>
      <x:c r="D15" s="11" t="str">
        <x:v>small molecule</x:v>
      </x:c>
      <x:c r="E15" s="11" t="str">
        <x:v>CHEBI:190786</x:v>
      </x:c>
      <x:c r="F15" s="11" t="str">
        <x:v>ChEBI mapping is to mocimycin; antibiotic class relation not verified</x:v>
      </x:c>
      <x:c r="G15" s="11" t="str">
        <x:v>Not verified</x:v>
      </x:c>
      <x:c r="H15" s="11" t="str">
        <x:v>Not verified</x:v>
      </x:c>
      <x:c r="I15" s="11" t="str">
        <x:v>Known antibiotic; ontology evidence incomplete</x:v>
      </x:c>
      <x:c r="J15" s="11" t="str">
        <x:v>Synonym normalization (kirromycin ↔ mocimycin) is essential.</x:v>
      </x:c>
      <x:c r="K15" s="11" t="str">
        <x:v>https://pubchem.ncbi.nlm.nih.gov/compound/Mocimycin</x:v>
      </x:c>
    </x:row>
    <x:row r="16">
      <x:c r="A16" s="11" t="str">
        <x:v>Linopristin</x:v>
      </x:c>
      <x:c r="B16" s="11" t="str">
        <x:v>4U1V, 4U27</x:v>
      </x:c>
      <x:c r="C16" s="11" t="n">
        <x:v>2</x:v>
      </x:c>
      <x:c r="D16" s="11" t="str">
        <x:v>small molecule</x:v>
      </x:c>
      <x:c r="E16" s="11" t="str">
        <x:v>No reliable ChEBI mapping found</x:v>
      </x:c>
      <x:c r="F16" s="11" t="str">
        <x:v>Streptogramin-family antibiotic biologically; no reliable ChEBI entry surfaced</x:v>
      </x:c>
      <x:c r="G16" s="11" t="str">
        <x:v>N/A</x:v>
      </x:c>
      <x:c r="H16" s="11" t="str">
        <x:v>N/A</x:v>
      </x:c>
      <x:c r="I16" s="11" t="str">
        <x:v>Known antibiotic; ChEBI-only classifier may miss</x:v>
      </x:c>
      <x:c r="J16" s="11" t="str">
        <x:v>Use exact PDB CCD + InChIKey and fallback databases.</x:v>
      </x:c>
      <x:c r="K16" s="11" t="str"/>
    </x:row>
    <x:row r="17">
      <x:c r="A17" s="11" t="str">
        <x:v>Negamycin</x:v>
      </x:c>
      <x:c r="B17" s="11" t="str">
        <x:v>4WF1</x:v>
      </x:c>
      <x:c r="C17" s="11" t="n">
        <x:v>1</x:v>
      </x:c>
      <x:c r="D17" s="11" t="str">
        <x:v>small molecule</x:v>
      </x:c>
      <x:c r="E17" s="11" t="str">
        <x:v>CHEBI:198310</x:v>
      </x:c>
      <x:c r="F17" s="11" t="str">
        <x:v>ChEBI identifier verified; no useful antibiotic class/role retrieved</x:v>
      </x:c>
      <x:c r="G17" s="11" t="str">
        <x:v>Not verified</x:v>
      </x:c>
      <x:c r="H17" s="11" t="str">
        <x:v>Not verified</x:v>
      </x:c>
      <x:c r="I17" s="11" t="str">
        <x:v>Known antibiotic; ontology evidence incomplete</x:v>
      </x:c>
      <x:c r="J17" s="11" t="str">
        <x:v>Likely requires better ontology retrieval or curated exception.</x:v>
      </x:c>
      <x:c r="K17" s="11" t="str">
        <x:v>https://pubchem.ncbi.nlm.nih.gov/compound/Negamycin</x:v>
      </x:c>
    </x:row>
    <x:row r="18">
      <x:c r="A18" s="11" t="str">
        <x:v>Neomycin</x:v>
      </x:c>
      <x:c r="B18" s="11" t="str">
        <x:v>4V52, 4V57, 4V9C</x:v>
      </x:c>
      <x:c r="C18" s="11" t="n">
        <x:v>3</x:v>
      </x:c>
      <x:c r="D18" s="11" t="str">
        <x:v>mixture/family</x:v>
      </x:c>
      <x:c r="E18" s="11" t="str">
        <x:v>CHEBI:7507</x:v>
      </x:c>
      <x:c r="F18" s="11" t="str">
        <x:v>Antimicrobial role is inherited via carbohydrate-containing antibiotic</x:v>
      </x:c>
      <x:c r="G18" s="11" t="str">
        <x:v>Parent mixture not shown; sulfate has antibacterial-drug role</x:v>
      </x:c>
      <x:c r="H18" s="11" t="str">
        <x:v>Antimicrobial</x:v>
      </x:c>
      <x:c r="I18" s="11" t="str">
        <x:v>High-confidence antibiotic via class</x:v>
      </x:c>
      <x:c r="J18" s="11" t="str">
        <x:v>Salt/form and component handling matters; PDB CCD may map to a component rather than sulfate drug.</x:v>
      </x:c>
      <x:c r="K18" s="11" t="str">
        <x:v>https://www.ebi.ac.uk/chebi/chebiOntology.do?chebiId=CHEBI%3A7507</x:v>
      </x:c>
    </x:row>
    <x:row r="19">
      <x:c r="A19" s="11" t="str">
        <x:v>Ornithine</x:v>
      </x:c>
      <x:c r="B19" s="11" t="str">
        <x:v>6TBV, 6TC3</x:v>
      </x:c>
      <x:c r="C19" s="11" t="n">
        <x:v>2</x:v>
      </x:c>
      <x:c r="D19" s="11" t="str">
        <x:v>metabolite/amino acid</x:v>
      </x:c>
      <x:c r="E19" s="11" t="str">
        <x:v>CHEBI:15729 (not audited here)</x:v>
      </x:c>
      <x:c r="F19" s="11" t="str">
        <x:v>Not an antibiotic</x:v>
      </x:c>
      <x:c r="G19" s="11" t="str">
        <x:v>No</x:v>
      </x:c>
      <x:c r="H19" s="11" t="str">
        <x:v>No</x:v>
      </x:c>
      <x:c r="I19" s="11" t="str">
        <x:v>Not antibiotic</x:v>
      </x:c>
      <x:c r="J19" s="11" t="str">
        <x:v>Good negative control from the same manually curated column.</x:v>
      </x:c>
      <x:c r="K19" s="11" t="str"/>
    </x:row>
    <x:row r="20">
      <x:c r="A20" s="11" t="str">
        <x:v>Paromomycin</x:v>
      </x:c>
      <x:c r="B20" s="11" t="str">
        <x:v>4WOI, 5IQR</x:v>
      </x:c>
      <x:c r="C20" s="11" t="n">
        <x:v>2</x:v>
      </x:c>
      <x:c r="D20" s="11" t="str">
        <x:v>small molecule</x:v>
      </x:c>
      <x:c r="E20" s="11" t="str">
        <x:v>CHEBI:7934</x:v>
      </x:c>
      <x:c r="F20" s="11" t="str">
        <x:v>Parent of paromomycin sulfate; aminoglycoside chemistry</x:v>
      </x:c>
      <x:c r="G20" s="11" t="str">
        <x:v>Yes (parent appears under CHEBI:36047; sulfate explicitly yes)</x:v>
      </x:c>
      <x:c r="H20" s="11" t="str">
        <x:v>Likely</x:v>
      </x:c>
      <x:c r="I20" s="11" t="str">
        <x:v>High-confidence antibiotic via role</x:v>
      </x:c>
      <x:c r="J20" s="11" t="str">
        <x:v>Parent and salt both need normalization.</x:v>
      </x:c>
      <x:c r="K20" s="11" t="str">
        <x:v>https://www.ebi.ac.uk/chebi/CHEBI%3A36047</x:v>
      </x:c>
    </x:row>
    <x:row r="21">
      <x:c r="A21" s="11" t="str">
        <x:v>Quinupristin</x:v>
      </x:c>
      <x:c r="B21" s="11" t="str">
        <x:v>4U1U, 4U26</x:v>
      </x:c>
      <x:c r="C21" s="11" t="n">
        <x:v>2</x:v>
      </x:c>
      <x:c r="D21" s="11" t="str">
        <x:v>small molecule</x:v>
      </x:c>
      <x:c r="E21" s="11" t="str">
        <x:v>CHEBI:8732</x:v>
      </x:c>
      <x:c r="F21" s="11" t="str">
        <x:v>Cyclodepsipeptide; semisynthetic streptogramin biologically</x:v>
      </x:c>
      <x:c r="G21" s="11" t="str">
        <x:v>Not individually verified</x:v>
      </x:c>
      <x:c r="H21" s="11" t="str">
        <x:v>Combination quinupristin/dalfopristin is antibacterial agent</x:v>
      </x:c>
      <x:c r="I21" s="11" t="str">
        <x:v>Known antibiotic; mapping verified</x:v>
      </x:c>
      <x:c r="J21" s="11" t="str">
        <x:v>Combination product has separate ChEBI entry; classify components individually and retain combination relation.</x:v>
      </x:c>
      <x:c r="K21" s="11" t="str">
        <x:v>https://pubchem.ncbi.nlm.nih.gov/compound/23724509</x:v>
      </x:c>
    </x:row>
    <x:row r="22">
      <x:c r="A22" s="11" t="str">
        <x:v>SpeFL</x:v>
      </x:c>
      <x:c r="B22" s="11" t="str">
        <x:v>6TBV, 6TC3</x:v>
      </x:c>
      <x:c r="C22" s="11" t="n">
        <x:v>2</x:v>
      </x:c>
      <x:c r="D22" s="11" t="str">
        <x:v>nascent regulatory peptide</x:v>
      </x:c>
      <x:c r="E22" s="11" t="str">
        <x:v>N/A</x:v>
      </x:c>
      <x:c r="F22" s="11" t="str">
        <x:v>Not an antibiotic; ornithine-responsive stalling peptide</x:v>
      </x:c>
      <x:c r="G22" s="11" t="str">
        <x:v>No</x:v>
      </x:c>
      <x:c r="H22" s="11" t="str">
        <x:v>No</x:v>
      </x:c>
      <x:c r="I22" s="11" t="str">
        <x:v>Not antibiotic</x:v>
      </x:c>
      <x:c r="J22" s="11" t="str">
        <x:v>Exclude from antibiotic positives.</x:v>
      </x:c>
      <x:c r="K22" s="11" t="str"/>
    </x:row>
    <x:row r="23">
      <x:c r="A23" s="11" t="str">
        <x:v>Spectinomycin</x:v>
      </x:c>
      <x:c r="B23" s="11" t="str">
        <x:v>4V56, 4V57</x:v>
      </x:c>
      <x:c r="C23" s="11" t="n">
        <x:v>2</x:v>
      </x:c>
      <x:c r="D23" s="11" t="str">
        <x:v>small molecule</x:v>
      </x:c>
      <x:c r="E23" s="11" t="str">
        <x:v>CHEBI:9215</x:v>
      </x:c>
      <x:c r="F23" s="11" t="str">
        <x:v>Chemical parents retrieved are generic (e.g. cyclic ketone), not antibiotic-named</x:v>
      </x:c>
      <x:c r="G23" s="11" t="str">
        <x:v>Yes</x:v>
      </x:c>
      <x:c r="H23" s="11" t="str">
        <x:v>Likely</x:v>
      </x:c>
      <x:c r="I23" s="11" t="str">
        <x:v>High-confidence antibiotic via role</x:v>
      </x:c>
      <x:c r="J23" s="11" t="str">
        <x:v>Strong evidence that antibiotic-class ancestry alone is insufficient.</x:v>
      </x:c>
      <x:c r="K23" s="11" t="str">
        <x:v>https://www.ebi.ac.uk/chebi/CHEBI%3A36047</x:v>
      </x:c>
    </x:row>
    <x:row r="24">
      <x:c r="A24" s="11" t="str">
        <x:v>Telithromycin</x:v>
      </x:c>
      <x:c r="B24" s="11" t="str">
        <x:v>4V7S</x:v>
      </x:c>
      <x:c r="C24" s="11" t="n">
        <x:v>1</x:v>
      </x:c>
      <x:c r="D24" s="11" t="str">
        <x:v>small molecule</x:v>
      </x:c>
      <x:c r="E24" s="11" t="str">
        <x:v>CHEBI:29688</x:v>
      </x:c>
      <x:c r="F24" s="11" t="str">
        <x:v>Ketolide/macrolide antibiotic biologically; exact ChEBI antibiotic parent not verified</x:v>
      </x:c>
      <x:c r="G24" s="11" t="str">
        <x:v>Not verified</x:v>
      </x:c>
      <x:c r="H24" s="11" t="str">
        <x:v>Not verified</x:v>
      </x:c>
      <x:c r="I24" s="11" t="str">
        <x:v>Known antibiotic; mapping verified</x:v>
      </x:c>
      <x:c r="J24" s="11" t="str">
        <x:v>Needs direct ChEBI graph retrieval in implementation.</x:v>
      </x:c>
      <x:c r="K24" s="11" t="str">
        <x:v>https://pubchem.ncbi.nlm.nih.gov/compound/191114-48-4</x:v>
      </x:c>
    </x:row>
    <x:row r="25">
      <x:c r="A25" s="11" t="str">
        <x:v>Tetracycline</x:v>
      </x:c>
      <x:c r="B25" s="11" t="str">
        <x:v>5J5B, 5J7L</x:v>
      </x:c>
      <x:c r="C25" s="11" t="n">
        <x:v>2</x:v>
      </x:c>
      <x:c r="D25" s="11" t="str">
        <x:v>small molecule</x:v>
      </x:c>
      <x:c r="E25" s="11" t="str">
        <x:v>CHEBI:27902</x:v>
      </x:c>
      <x:c r="F25" s="11" t="str">
        <x:v>ChEBI definition explicitly calls it a broad-spectrum polyketide antibiotic</x:v>
      </x:c>
      <x:c r="G25" s="11" t="str">
        <x:v>Yes</x:v>
      </x:c>
      <x:c r="H25" s="11" t="str">
        <x:v>Yes</x:v>
      </x:c>
      <x:c r="I25" s="11" t="str">
        <x:v>High-confidence antibiotic</x:v>
      </x:c>
      <x:c r="J25" s="11" t="str">
        <x:v>Good positive control; antibacterial-drug role is explicit.</x:v>
      </x:c>
      <x:c r="K25" s="11" t="str">
        <x:v>https://www.ebi.ac.uk/chebi/CHEBI%3A26894</x:v>
      </x:c>
    </x:row>
    <x:row r="26">
      <x:c r="A26" s="11" t="str">
        <x:v>Tigecycline</x:v>
      </x:c>
      <x:c r="B26" s="11" t="str">
        <x:v>5J8A, 5J91</x:v>
      </x:c>
      <x:c r="C26" s="11" t="n">
        <x:v>2</x:v>
      </x:c>
      <x:c r="D26" s="11" t="str">
        <x:v>small molecule</x:v>
      </x:c>
      <x:c r="E26" s="11" t="str">
        <x:v>CHEBI:149836</x:v>
      </x:c>
      <x:c r="F26" s="11" t="str">
        <x:v>Defined as a glycylcycline antibiotic</x:v>
      </x:c>
      <x:c r="G26" s="11" t="str">
        <x:v>Yes</x:v>
      </x:c>
      <x:c r="H26" s="11" t="str">
        <x:v>Likely/derived</x:v>
      </x:c>
      <x:c r="I26" s="11" t="str">
        <x:v>High-confidence antibiotic</x:v>
      </x:c>
      <x:c r="J26" s="11" t="str">
        <x:v>Current ChEBI antibacterial-drug role is visible via CHEBI:36047.</x:v>
      </x:c>
      <x:c r="K26" s="11" t="str">
        <x:v>https://www.ebi.ac.uk/chebi/CHEBI%3A29696</x:v>
      </x:c>
    </x:row>
    <x:row r="27">
      <x:c r="A27" s="11" t="str">
        <x:v>VemP</x:v>
      </x:c>
      <x:c r="B27" s="11" t="str">
        <x:v>5NWY</x:v>
      </x:c>
      <x:c r="C27" s="11" t="n">
        <x:v>1</x:v>
      </x:c>
      <x:c r="D27" s="11" t="str">
        <x:v>nascent regulatory peptide</x:v>
      </x:c>
      <x:c r="E27" s="11" t="str">
        <x:v>N/A</x:v>
      </x:c>
      <x:c r="F27" s="11" t="str">
        <x:v>Not an antibiotic</x:v>
      </x:c>
      <x:c r="G27" s="11" t="str">
        <x:v>No</x:v>
      </x:c>
      <x:c r="H27" s="11" t="str">
        <x:v>No</x:v>
      </x:c>
      <x:c r="I27" s="11" t="str">
        <x:v>Not antibiotic</x:v>
      </x:c>
      <x:c r="J27" s="11" t="str">
        <x:v>Exclude from antibiotic positives.</x:v>
      </x:c>
      <x:c r="K27" s="11" t="str"/>
    </x:row>
    <x:row r="28">
      <x:c r="A28" s="11" t="str">
        <x:v>Viomycin</x:v>
      </x:c>
      <x:c r="B28" s="11" t="str">
        <x:v>4V85, 4V9O, 4V9P</x:v>
      </x:c>
      <x:c r="C28" s="11" t="n">
        <x:v>3</x:v>
      </x:c>
      <x:c r="D28" s="11" t="str">
        <x:v>cyclic peptide small-molecule ligand</x:v>
      </x:c>
      <x:c r="E28" s="11" t="str">
        <x:v>CHEBI:15782</x:v>
      </x:c>
      <x:c r="F28" s="11" t="str">
        <x:v>ChEBI places it under heterodetic cyclic peptide; antibiotic class root not verified in this audit</x:v>
      </x:c>
      <x:c r="G28" s="11" t="str">
        <x:v>Not verified</x:v>
      </x:c>
      <x:c r="H28" s="11" t="str">
        <x:v>Not verified</x:v>
      </x:c>
      <x:c r="I28" s="11" t="str">
        <x:v>Known antibiotic; ontology evidence incomplete</x:v>
      </x:c>
      <x:c r="J28" s="11" t="str">
        <x:v>Important edge case: structure/class ontology alone may not expose 'antibiotic'.</x:v>
      </x:c>
      <x:c r="K28" s="11" t="str">
        <x:v>https://pubchem.ncbi.nlm.nih.gov/compound/Viomycin</x:v>
      </x:c>
    </x:row>
    <x:row r="29">
      <x:c r="A29" s="11" t="str">
        <x:v>Virginiamycin</x:v>
      </x:c>
      <x:c r="B29" s="11" t="str">
        <x:v>4U25</x:v>
      </x:c>
      <x:c r="C29" s="11" t="n">
        <x:v>1</x:v>
      </x:c>
      <x:c r="D29" s="11" t="str">
        <x:v>mixture</x:v>
      </x:c>
      <x:c r="E29" s="11" t="str">
        <x:v>CHEBI:87209</x:v>
      </x:c>
      <x:c r="F29" s="11" t="str">
        <x:v>Component virginiamycin S1 is_a macrolide antibiotic (CHEBI:25105)</x:v>
      </x:c>
      <x:c r="G29" s="11" t="str">
        <x:v>Yes</x:v>
      </x:c>
      <x:c r="H29" s="11" t="str">
        <x:v>Likely</x:v>
      </x:c>
      <x:c r="I29" s="11" t="str">
        <x:v>High-confidence antibiotic</x:v>
      </x:c>
      <x:c r="J29" s="11" t="str">
        <x:v>Mixture has components; component S1 has both antibiotic class and antibacterial-drug role.</x:v>
      </x:c>
      <x:c r="K29" s="11" t="str">
        <x:v>https://www.ebi.ac.uk/chebi/CHEBI%3A36047</x:v>
      </x:c>
    </x:row>
  </x:sheetData>
  <x:conditionalFormatting sqref="I2:I29">
    <x:cfRule type="expression" dxfId="0" priority="1">
      <x:formula>ISNUMBER(SEARCH("High-confidence",I2))</x:formula>
    </x:cfRule>
    <x:cfRule type="expression" dxfId="1" priority="2">
      <x:formula>ISNUMBER(SEARCH("miss",I2))</x:formula>
    </x:cfRule>
    <x:cfRule type="expression" dxfId="2" priority="3">
      <x:formula>ISNUMBER(SEARCH("Not antibiotic",I2))</x:formula>
    </x:cfRule>
    <x:cfRule type="expression" dxfId="3" priority="4">
      <x:formula>ISNUMBER(SEARCH("Separate",I2))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95" hidden="0" customWidth="1"/>
  </x:cols>
  <x:sheetData>
    <x:row r="1">
      <x:c r="A1" s="10" t="str">
        <x:v>Finding</x:v>
      </x:c>
      <x:c r="B1" s="10" t="str">
        <x:v>Conclusion</x:v>
      </x:c>
    </x:row>
    <x:row r="2">
      <x:c r="A2" s="11" t="str">
        <x:v>1. Do not use one ChEBI term as the whole classifier</x:v>
      </x:c>
      <x:c r="B2" s="11" t="str">
        <x:v>The manually curated positives include class-strong compounds (e.g. kasugamycin), role-strong/class-weak compounds (e.g. chloramphenicol, spectinomycin, dalfopristin), mixtures/families (gentamicin, neomycin, virginiamycin), and compounds with incomplete/no ChEBI mapping (e.g. CEM-101/solithromycin).</x:v>
      </x:c>
    </x:row>
    <x:row r="3">
      <x:c r="A3" s="11" t="str">
        <x:v>2. Strongest ontology signals</x:v>
      </x:c>
      <x:c r="B3" s="11" t="str">
        <x:v>Keep two independent signals: (a) descendant of curated antibiotic-class roots; (b) has_role antibacterial drug (CHEBI:36047). Record antibacterial agent (CHEBI:33282) / antimicrobial agent (CHEBI:33281) only as supporting evidence.</x:v>
      </x:c>
    </x:row>
    <x:row r="4">
      <x:c r="A4" s="11" t="str">
        <x:v>3. CHEBI:36047 cannot be treated as perfect truth</x:v>
      </x:c>
      <x:c r="B4" s="11" t="str">
        <x:v>The current ChEBI antibacterial-drug role includes surprising entries such as sodium chloride and psilocybin, so it should be treated as evidence rather than an unquestioned final label.</x:v>
      </x:c>
    </x:row>
    <x:row r="5">
      <x:c r="A5" s="11" t="str">
        <x:v>4. Class ancestry alone is insufficient</x:v>
      </x:c>
      <x:c r="B5" s="11" t="str">
        <x:v>Chloramphenicol and spectinomycin are clear ribosome-targeting antibiotics but the retrieved chemical-class relationships are generic; role evidence catches them.</x:v>
      </x:c>
    </x:row>
    <x:row r="6">
      <x:c r="A6" s="11" t="str">
        <x:v>5. Mapping must be exact</x:v>
      </x:c>
      <x:c r="B6" s="11" t="str">
        <x:v>Classify the exact PDB CCD chemical entity. Normalize salts, protonation states, mixtures, synonyms and component forms through ChEBI/UniChem/InChIKey before applying ontology rules.</x:v>
      </x:c>
    </x:row>
    <x:row r="7">
      <x:c r="A7" s="11" t="str">
        <x:v>6. Peptides are a separate path</x:v>
      </x:c>
      <x:c r="B7" s="11" t="str">
        <x:v>Apidaecin is an antimicrobial peptide, while ErmBL, SpeFL and VemP are bound/regulatory peptides rather than antibiotics. Do not infer 'antibiotic' simply because the manual peptide/antibiotic column is populated.</x:v>
      </x:c>
    </x:row>
    <x:row r="8">
      <x:c r="A8" s="11" t="str">
        <x:v>Recommended production output</x:v>
      </x:c>
      <x:c r="B8" s="11" t="str">
        <x:v>Return evidence fields, not just a boolean: is_antibiotic, confidence, chebi_id, antibiotic_class_terms, antibacterial_drug_role, antibacterial_agent_role, mapping_method, and evidence_sources.</x:v>
      </x:c>
    </x:row>
    <x:row r="9">
      <x:c r="A9" s="11" t="str">
        <x:v>Recommended first rule</x:v>
      </x:c>
      <x:c r="B9" s="11" t="str">
        <x:v>HIGH: antibiotic-class ancestry OR (antibacterial-drug role + corroborating curated source). MEDIUM: antibacterial-drug role alone or known antibiotic with incomplete ChEBI class. LOW/supporting: antibacterial-agent/antimicrobial-agent role alone. UNKNOWN: no ChEBI mapping.</x:v>
      </x:c>
    </x:row>
    <x:row r="10">
      <x:c r="A10" s="11" t="str">
        <x:v>Next validation step</x:v>
      </x:c>
      <x:c r="B10" s="11" t="str">
        <x:v>Build a negative/control set from common PDB ligands plus all PDB CCDs carrying CHEBI:36047/33282, then measure precision/recall against manual curation before freezing the rule.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34" hidden="0" customWidth="1"/>
    <x:col min="4" max="4" width="72" hidden="0" customWidth="1"/>
  </x:cols>
  <x:sheetData>
    <x:row r="1">
      <x:c r="A1" s="10" t="str">
        <x:v>ChEBI term</x:v>
      </x:c>
      <x:c r="B1" s="10" t="str">
        <x:v>ID</x:v>
      </x:c>
      <x:c r="C1" s="10" t="str">
        <x:v>Use in classifier</x:v>
      </x:c>
      <x:c r="D1" s="10" t="str">
        <x:v>Reason</x:v>
      </x:c>
    </x:row>
    <x:row r="2">
      <x:c r="A2" s="11" t="str">
        <x:v>antibacterial drug</x:v>
      </x:c>
      <x:c r="B2" s="11" t="str">
        <x:v>CHEBI:36047</x:v>
      </x:c>
      <x:c r="C2" s="11" t="str">
        <x:v>Strong positive evidence, not absolute truth</x:v>
      </x:c>
      <x:c r="D2" s="11" t="str">
        <x:v>Specific therapeutic role but current ontology contains some surprising/likely erroneous assignments.</x:v>
      </x:c>
    </x:row>
    <x:row r="3">
      <x:c r="A3" s="11" t="str">
        <x:v>antibacterial agent</x:v>
      </x:c>
      <x:c r="B3" s="11" t="str">
        <x:v>CHEBI:33282</x:v>
      </x:c>
      <x:c r="C3" s="11" t="str">
        <x:v>Supporting evidence only</x:v>
      </x:c>
      <x:c r="D3" s="11" t="str">
        <x:v>Too broad: any substance that kills/slows bacteria can have this role.</x:v>
      </x:c>
    </x:row>
    <x:row r="4">
      <x:c r="A4" s="11" t="str">
        <x:v>antimicrobial agent</x:v>
      </x:c>
      <x:c r="B4" s="11" t="str">
        <x:v>CHEBI:33281</x:v>
      </x:c>
      <x:c r="C4" s="11" t="str">
        <x:v>Supporting evidence only</x:v>
      </x:c>
      <x:c r="D4" s="11" t="str">
        <x:v>Even broader; includes antifungal/antiviral/antiprotozoal activity.</x:v>
      </x:c>
    </x:row>
    <x:row r="5">
      <x:c r="A5" s="11" t="str">
        <x:v>aminoglycoside antibiotic</x:v>
      </x:c>
      <x:c r="B5" s="11" t="str">
        <x:v>CHEBI:22507</x:v>
      </x:c>
      <x:c r="C5" s="11" t="str">
        <x:v>Curated antibiotic-class root</x:v>
      </x:c>
      <x:c r="D5" s="11" t="str">
        <x:v>Kasugamycin is explicitly a descendant.</x:v>
      </x:c>
    </x:row>
    <x:row r="6">
      <x:c r="A6" s="11" t="str">
        <x:v>macrolide antibiotic</x:v>
      </x:c>
      <x:c r="B6" s="11" t="str">
        <x:v>CHEBI:25105</x:v>
      </x:c>
      <x:c r="C6" s="11" t="str">
        <x:v>Curated antibiotic-class root</x:v>
      </x:c>
      <x:c r="D6" s="11" t="str">
        <x:v>Useful for erythromycin/virginiamycin-family examples.</x:v>
      </x:c>
    </x:row>
    <x:row r="7">
      <x:c r="A7" s="11" t="str">
        <x:v>beta-lactam antibiotic</x:v>
      </x:c>
      <x:c r="B7" s="11" t="str">
        <x:v>CHEBI:27933</x:v>
      </x:c>
      <x:c r="C7" s="11" t="str">
        <x:v>Curated antibiotic-class root</x:v>
      </x:c>
      <x:c r="D7" s="11" t="str">
        <x:v>Important for general PDB coverage beyond ribosome structures.</x:v>
      </x:c>
    </x:row>
    <x:row r="8">
      <x:c r="A8" s="11" t="str">
        <x:v>protein synthesis inhibitor</x:v>
      </x:c>
      <x:c r="B8" s="11" t="str">
        <x:v>CHEBI:48001</x:v>
      </x:c>
      <x:c r="C8" s="11" t="str">
        <x:v>Mechanism annotation; not antibiotic criterion</x:v>
      </x:c>
      <x:c r="D8" s="11" t="str">
        <x:v>Useful for ribosome-targeting subset but also includes non-antibiotic inhibitors/toxins.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30" hidden="0" customWidth="1"/>
    <x:col min="5" max="5" width="70" hidden="0" customWidth="1"/>
  </x:cols>
  <x:sheetData>
    <x:row r="1">
      <x:c r="A1" s="10" t="str">
        <x:v>Compound</x:v>
      </x:c>
      <x:c r="B1" s="10" t="str">
        <x:v>Class in paper</x:v>
      </x:c>
      <x:c r="C1" s="10" t="str">
        <x:v>PDB CCD code reported in paper/tables</x:v>
      </x:c>
      <x:c r="E1" s="5" t="str">
        <x:v>Source note</x:v>
      </x:c>
    </x:row>
    <x:row r="2">
      <x:c r="A2" s="11" t="str">
        <x:v>Tetracycline</x:v>
      </x:c>
      <x:c r="B2" s="11" t="str">
        <x:v>Tetracyclines</x:v>
      </x:c>
      <x:c r="C2" s="11" t="str">
        <x:v>TAC</x:v>
      </x:c>
      <x:c r="E2" s="11" t="str">
        <x:v>Paternoga et al., Nature Structural &amp; Molecular Biology (2023), “Structural conservation of antibiotic interaction with ribosomes”.</x:v>
      </x:c>
    </x:row>
    <x:row r="3">
      <x:c r="A3" s="11" t="str">
        <x:v>Omadacycline</x:v>
      </x:c>
      <x:c r="B3" s="11" t="str">
        <x:v>Tetracyclines</x:v>
      </x:c>
      <x:c r="C3" s="11" t="str">
        <x:v>U3B</x:v>
      </x:c>
    </x:row>
    <x:row r="4">
      <x:c r="A4" s="11" t="str">
        <x:v>Eravacycline</x:v>
      </x:c>
      <x:c r="B4" s="11" t="str">
        <x:v>Tetracyclines</x:v>
      </x:c>
      <x:c r="C4" s="11" t="str">
        <x:v>YQM</x:v>
      </x:c>
    </x:row>
    <x:row r="5">
      <x:c r="A5" s="11" t="str">
        <x:v>Pentacycline</x:v>
      </x:c>
      <x:c r="B5" s="11" t="str">
        <x:v>Tetracyclines</x:v>
      </x:c>
      <x:c r="C5" s="11" t="str">
        <x:v>P8F</x:v>
      </x:c>
    </x:row>
    <x:row r="6">
      <x:c r="A6" s="11" t="str">
        <x:v>Spectinomycin</x:v>
      </x:c>
      <x:c r="B6" s="11" t="str">
        <x:v>Aminocyclitol / paper groups with aminoglycosides</x:v>
      </x:c>
      <x:c r="C6" s="11" t="str">
        <x:v>SCM</x:v>
      </x:c>
    </x:row>
    <x:row r="7">
      <x:c r="A7" s="11" t="str">
        <x:v>Streptomycin</x:v>
      </x:c>
      <x:c r="B7" s="11" t="str">
        <x:v>Aminoglycosides</x:v>
      </x:c>
      <x:c r="C7" s="11" t="str">
        <x:v>5I0</x:v>
      </x:c>
    </x:row>
    <x:row r="8">
      <x:c r="A8" s="11" t="str">
        <x:v>Apramycin</x:v>
      </x:c>
      <x:c r="B8" s="11" t="str">
        <x:v>Aminoglycosides</x:v>
      </x:c>
      <x:c r="C8" s="11" t="str">
        <x:v>AM2</x:v>
      </x:c>
    </x:row>
    <x:row r="9">
      <x:c r="A9" s="11" t="str">
        <x:v>Kasugamycin</x:v>
      </x:c>
      <x:c r="B9" s="11" t="str">
        <x:v>Aminoglycosides</x:v>
      </x:c>
      <x:c r="C9" s="11" t="str">
        <x:v>KSG</x:v>
      </x:c>
    </x:row>
    <x:row r="10">
      <x:c r="A10" s="11" t="str">
        <x:v>Gentamicin</x:v>
      </x:c>
      <x:c r="B10" s="11" t="str">
        <x:v>Aminoglycosides</x:v>
      </x:c>
      <x:c r="C10" s="11" t="str">
        <x:v>LLL</x:v>
      </x:c>
    </x:row>
    <x:row r="11">
      <x:c r="A11" s="11" t="str">
        <x:v>Hygromycin B</x:v>
      </x:c>
      <x:c r="B11" s="11" t="str">
        <x:v>Aminoglycosides</x:v>
      </x:c>
      <x:c r="C11" s="11" t="str">
        <x:v>HY0</x:v>
      </x:c>
    </x:row>
    <x:row r="12">
      <x:c r="A12" s="11" t="str">
        <x:v>Capreomycin</x:v>
      </x:c>
      <x:c r="B12" s="11" t="str">
        <x:v>Tuberactinomycin</x:v>
      </x:c>
      <x:c r="C12" s="11" t="str">
        <x:v>CA7</x:v>
      </x:c>
    </x:row>
    <x:row r="13">
      <x:c r="A13" s="11" t="str">
        <x:v>Avilamycin</x:v>
      </x:c>
      <x:c r="B13" s="11" t="str">
        <x:v>Orthosomycin</x:v>
      </x:c>
      <x:c r="C13" s="11" t="str">
        <x:v>6UQ</x:v>
      </x:c>
    </x:row>
    <x:row r="14">
      <x:c r="A14" s="11" t="str">
        <x:v>Evernimicin</x:v>
      </x:c>
      <x:c r="B14" s="11" t="str">
        <x:v>Orthosomycin</x:v>
      </x:c>
      <x:c r="C14" s="11" t="str">
        <x:v>6O1</x:v>
      </x:c>
    </x:row>
    <x:row r="15">
      <x:c r="A15" s="11" t="str">
        <x:v>Tiamulin</x:v>
      </x:c>
      <x:c r="B15" s="11" t="str">
        <x:v>Pleuromutilin</x:v>
      </x:c>
      <x:c r="C15" s="11" t="str">
        <x:v>MUL</x:v>
      </x:c>
    </x:row>
    <x:row r="16">
      <x:c r="A16" s="11" t="str">
        <x:v>Retapamulin</x:v>
      </x:c>
      <x:c r="B16" s="11" t="str">
        <x:v>Pleuromutilin</x:v>
      </x:c>
      <x:c r="C16" s="11" t="str">
        <x:v>G34</x:v>
      </x:c>
    </x:row>
    <x:row r="17">
      <x:c r="A17" s="11" t="str">
        <x:v>Lincomycin</x:v>
      </x:c>
      <x:c r="B17" s="11" t="str">
        <x:v>Lincosamide</x:v>
      </x:c>
      <x:c r="C17" s="11" t="str">
        <x:v>3QB</x:v>
      </x:c>
    </x:row>
    <x:row r="18">
      <x:c r="A18" s="11" t="str">
        <x:v>Clindamycin</x:v>
      </x:c>
      <x:c r="B18" s="11" t="str">
        <x:v>Lincosamide</x:v>
      </x:c>
      <x:c r="C18" s="11" t="str">
        <x:v>CLY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7" hidden="0" customWidth="1"/>
    <x:col min="3" max="3" width="18" hidden="0" customWidth="1"/>
    <x:col min="4" max="4" width="34" hidden="0" customWidth="1"/>
    <x:col min="5" max="5" width="26" hidden="0" customWidth="1"/>
    <x:col min="6" max="6" width="50" hidden="0" customWidth="1"/>
    <x:col min="7" max="7" width="48" hidden="0" customWidth="1"/>
    <x:col min="8" max="8" width="30" hidden="0" customWidth="1"/>
    <x:col min="9" max="9" width="45" hidden="0" customWidth="1"/>
    <x:col min="10" max="10" width="50" hidden="0" customWidth="1"/>
  </x:cols>
  <x:sheetData>
    <x:row r="1">
      <x:c r="A1" s="19" t="str">
        <x:v>Control</x:v>
      </x:c>
      <x:c r="B1" s="19" t="str">
        <x:v>PDB CCD</x:v>
      </x:c>
      <x:c r="C1" s="19" t="str">
        <x:v>ChEBI ID</x:v>
      </x:c>
      <x:c r="D1" s="19" t="str">
        <x:v>Control stratum</x:v>
      </x:c>
      <x:c r="E1" s="19" t="str">
        <x:v>Expected label</x:v>
      </x:c>
      <x:c r="F1" s="19" t="str">
        <x:v>Why it is useful</x:v>
      </x:c>
      <x:c r="G1" s="19" t="str">
        <x:v>Ontology trap / signal</x:v>
      </x:c>
      <x:c r="H1" s="19" t="str">
        <x:v>PDB relevance</x:v>
      </x:c>
      <x:c r="I1" s="19" t="str">
        <x:v>Suggested assertion</x:v>
      </x:c>
      <x:c r="J1" s="19" t="str">
        <x:v>Source</x:v>
      </x:c>
    </x:row>
    <x:row r="2">
      <x:c r="A2" s="11" t="str">
        <x:v>Water</x:v>
      </x:c>
      <x:c r="B2" s="11" t="str">
        <x:v>HOH</x:v>
      </x:c>
      <x:c r="C2" s="11" t="str">
        <x:v>CHEBI:15377</x:v>
      </x:c>
      <x:c r="D2" s="11" t="str">
        <x:v>Easy negative: solvent</x:v>
      </x:c>
      <x:c r="E2" s="11" t="str">
        <x:v>NOT antibiotic</x:v>
      </x:c>
      <x:c r="F2" s="11" t="str">
        <x:v>Most common structural solvent; should be excluded before pharmacological annotation.</x:v>
      </x:c>
      <x:c r="G2" s="11" t="str">
        <x:v>No antibiotic role expected.</x:v>
      </x:c>
      <x:c r="H2" s="11" t="str">
        <x:v>Very high</x:v>
      </x:c>
      <x:c r="I2" s="11" t="str">
        <x:v>classifier == negative/excluded</x:v>
      </x:c>
      <x:c r="J2" s="11" t="str">
        <x:v>https://www.rcsb.org/ligand/HOH</x:v>
      </x:c>
    </x:row>
    <x:row r="3">
      <x:c r="A3" s="11" t="str">
        <x:v>Glycerol</x:v>
      </x:c>
      <x:c r="B3" s="11" t="str">
        <x:v>GOL</x:v>
      </x:c>
      <x:c r="C3" s="11" t="str">
        <x:v>CHEBI:17754</x:v>
      </x:c>
      <x:c r="D3" s="11" t="str">
        <x:v>Easy negative: cryoprotectant/additive</x:v>
      </x:c>
      <x:c r="E3" s="11" t="str">
        <x:v>NOT antibiotic</x:v>
      </x:c>
      <x:c r="F3" s="11" t="str">
        <x:v>Common crystallization/cryoprotection ligand.</x:v>
      </x:c>
      <x:c r="G3" s="11" t="str">
        <x:v>May have miscellaneous biological roles in ontologies; chemistry alone should not trigger.</x:v>
      </x:c>
      <x:c r="H3" s="11" t="str">
        <x:v>Very high</x:v>
      </x:c>
      <x:c r="I3" s="11" t="str">
        <x:v>classifier == negative</x:v>
      </x:c>
      <x:c r="J3" s="11" t="str">
        <x:v>https://www.rcsb.org/ligand/GOL</x:v>
      </x:c>
    </x:row>
    <x:row r="4">
      <x:c r="A4" s="11" t="str">
        <x:v>Ethylene glycol</x:v>
      </x:c>
      <x:c r="B4" s="11" t="str">
        <x:v>EDO</x:v>
      </x:c>
      <x:c r="C4" s="11" t="str">
        <x:v>CHEBI:30742</x:v>
      </x:c>
      <x:c r="D4" s="11" t="str">
        <x:v>Easy negative: cryoprotectant/additive</x:v>
      </x:c>
      <x:c r="E4" s="11" t="str">
        <x:v>NOT antibiotic</x:v>
      </x:c>
      <x:c r="F4" s="11" t="str">
        <x:v>Common PDB additive.</x:v>
      </x:c>
      <x:c r="G4" s="11" t="str">
        <x:v>No antibiotic-class ancestry expected.</x:v>
      </x:c>
      <x:c r="H4" s="11" t="str">
        <x:v>Very high</x:v>
      </x:c>
      <x:c r="I4" s="11" t="str">
        <x:v>classifier == negative</x:v>
      </x:c>
      <x:c r="J4" s="11" t="str">
        <x:v>https://www.rcsb.org/ligand/EDO</x:v>
      </x:c>
    </x:row>
    <x:row r="5">
      <x:c r="A5" s="11" t="str">
        <x:v>Sulfate</x:v>
      </x:c>
      <x:c r="B5" s="11" t="str">
        <x:v>SO4</x:v>
      </x:c>
      <x:c r="C5" s="11" t="str">
        <x:v>CHEBI:16189</x:v>
      </x:c>
      <x:c r="D5" s="11" t="str">
        <x:v>Easy negative: ion/additive</x:v>
      </x:c>
      <x:c r="E5" s="11" t="str">
        <x:v>NOT antibiotic</x:v>
      </x:c>
      <x:c r="F5" s="11" t="str">
        <x:v>Frequent crystallization/ionic component.</x:v>
      </x:c>
      <x:c r="G5" s="11" t="str">
        <x:v>Should be removed by simple inorganic/additive filtering.</x:v>
      </x:c>
      <x:c r="H5" s="11" t="str">
        <x:v>Very high</x:v>
      </x:c>
      <x:c r="I5" s="11" t="str">
        <x:v>classifier == negative/excluded</x:v>
      </x:c>
      <x:c r="J5" s="11" t="str">
        <x:v>https://www.rcsb.org/ligand/SO4</x:v>
      </x:c>
    </x:row>
    <x:row r="6">
      <x:c r="A6" s="11" t="str">
        <x:v>Phosphate</x:v>
      </x:c>
      <x:c r="B6" s="11" t="str">
        <x:v>PO4</x:v>
      </x:c>
      <x:c r="C6" s="11" t="str">
        <x:v>CHEBI:18367</x:v>
      </x:c>
      <x:c r="D6" s="11" t="str">
        <x:v>Easy negative: ion/metabolite</x:v>
      </x:c>
      <x:c r="E6" s="11" t="str">
        <x:v>NOT antibiotic</x:v>
      </x:c>
      <x:c r="F6" s="11" t="str">
        <x:v>Frequent structural ligand and buffer component.</x:v>
      </x:c>
      <x:c r="G6" s="11" t="str">
        <x:v>No antibiotic evidence.</x:v>
      </x:c>
      <x:c r="H6" s="11" t="str">
        <x:v>Very high</x:v>
      </x:c>
      <x:c r="I6" s="11" t="str">
        <x:v>classifier == negative/excluded</x:v>
      </x:c>
      <x:c r="J6" s="11" t="str">
        <x:v>https://www.rcsb.org/ligand/PO4</x:v>
      </x:c>
    </x:row>
    <x:row r="7">
      <x:c r="A7" s="11" t="str">
        <x:v>ATP</x:v>
      </x:c>
      <x:c r="B7" s="11" t="str">
        <x:v>ATP</x:v>
      </x:c>
      <x:c r="C7" s="11" t="str">
        <x:v>CHEBI:15422</x:v>
      </x:c>
      <x:c r="D7" s="11" t="str">
        <x:v>Easy negative: nucleotide</x:v>
      </x:c>
      <x:c r="E7" s="11" t="str">
        <x:v>NOT antibiotic</x:v>
      </x:c>
      <x:c r="F7" s="11" t="str">
        <x:v>Biologically important ligand but not an antibiotic.</x:v>
      </x:c>
      <x:c r="G7" s="11" t="str">
        <x:v>Tests that 'bioactive ligand' is not conflated with antibiotic.</x:v>
      </x:c>
      <x:c r="H7" s="11" t="str">
        <x:v>Very high</x:v>
      </x:c>
      <x:c r="I7" s="11" t="str">
        <x:v>classifier == negative</x:v>
      </x:c>
      <x:c r="J7" s="11" t="str">
        <x:v>https://www.rcsb.org/ligand/ATP</x:v>
      </x:c>
    </x:row>
    <x:row r="8">
      <x:c r="A8" s="11" t="str">
        <x:v>ADP</x:v>
      </x:c>
      <x:c r="B8" s="11" t="str">
        <x:v>ADP</x:v>
      </x:c>
      <x:c r="C8" s="11" t="str">
        <x:v>CHEBI:16761</x:v>
      </x:c>
      <x:c r="D8" s="11" t="str">
        <x:v>Easy negative: nucleotide</x:v>
      </x:c>
      <x:c r="E8" s="11" t="str">
        <x:v>NOT antibiotic</x:v>
      </x:c>
      <x:c r="F8" s="11" t="str">
        <x:v>Common enzyme ligand/product.</x:v>
      </x:c>
      <x:c r="G8" s="11" t="str">
        <x:v>No antibiotic evidence.</x:v>
      </x:c>
      <x:c r="H8" s="11" t="str">
        <x:v>Very high</x:v>
      </x:c>
      <x:c r="I8" s="11" t="str">
        <x:v>classifier == negative</x:v>
      </x:c>
      <x:c r="J8" s="11" t="str">
        <x:v>https://www.rcsb.org/ligand/ADP</x:v>
      </x:c>
    </x:row>
    <x:row r="9">
      <x:c r="A9" s="11" t="str">
        <x:v>GTP</x:v>
      </x:c>
      <x:c r="B9" s="11" t="str">
        <x:v>GTP</x:v>
      </x:c>
      <x:c r="C9" s="11" t="str">
        <x:v>CHEBI:15996</x:v>
      </x:c>
      <x:c r="D9" s="11" t="str">
        <x:v>Easy negative: nucleotide</x:v>
      </x:c>
      <x:c r="E9" s="11" t="str">
        <x:v>NOT antibiotic</x:v>
      </x:c>
      <x:c r="F9" s="11" t="str">
        <x:v>Especially relevant to ribosome/translation structures.</x:v>
      </x:c>
      <x:c r="G9" s="11" t="str">
        <x:v>Prevents translation-related context from biasing classification.</x:v>
      </x:c>
      <x:c r="H9" s="11" t="str">
        <x:v>Very high</x:v>
      </x:c>
      <x:c r="I9" s="11" t="str">
        <x:v>classifier == negative</x:v>
      </x:c>
      <x:c r="J9" s="11" t="str">
        <x:v>https://www.rcsb.org/ligand/GTP</x:v>
      </x:c>
    </x:row>
    <x:row r="10">
      <x:c r="A10" s="11" t="str">
        <x:v>GDP</x:v>
      </x:c>
      <x:c r="B10" s="11" t="str">
        <x:v>GDP</x:v>
      </x:c>
      <x:c r="C10" s="11" t="str">
        <x:v>CHEBI:17552</x:v>
      </x:c>
      <x:c r="D10" s="11" t="str">
        <x:v>Easy negative: nucleotide</x:v>
      </x:c>
      <x:c r="E10" s="11" t="str">
        <x:v>NOT antibiotic</x:v>
      </x:c>
      <x:c r="F10" s="11" t="str">
        <x:v>Common ribosome-associated nucleotide.</x:v>
      </x:c>
      <x:c r="G10" s="11" t="str">
        <x:v>No antibiotic evidence.</x:v>
      </x:c>
      <x:c r="H10" s="11" t="str">
        <x:v>Very high</x:v>
      </x:c>
      <x:c r="I10" s="11" t="str">
        <x:v>classifier == negative</x:v>
      </x:c>
      <x:c r="J10" s="11" t="str">
        <x:v>https://www.rcsb.org/ligand/GDP</x:v>
      </x:c>
    </x:row>
    <x:row r="11">
      <x:c r="A11" s="11" t="str">
        <x:v>FAD</x:v>
      </x:c>
      <x:c r="B11" s="11" t="str">
        <x:v>FAD</x:v>
      </x:c>
      <x:c r="C11" s="11" t="str">
        <x:v>CHEBI:16238</x:v>
      </x:c>
      <x:c r="D11" s="11" t="str">
        <x:v>Easy negative: cofactor</x:v>
      </x:c>
      <x:c r="E11" s="11" t="str">
        <x:v>NOT antibiotic</x:v>
      </x:c>
      <x:c r="F11" s="11" t="str">
        <x:v>Large bioactive small molecule that could otherwise look drug-like.</x:v>
      </x:c>
      <x:c r="G11" s="11" t="str">
        <x:v>Tests that size/complexity is not used as a shortcut.</x:v>
      </x:c>
      <x:c r="H11" s="11" t="str">
        <x:v>High</x:v>
      </x:c>
      <x:c r="I11" s="11" t="str">
        <x:v>classifier == negative</x:v>
      </x:c>
      <x:c r="J11" s="11" t="str">
        <x:v>https://www.rcsb.org/ligand/FAD</x:v>
      </x:c>
    </x:row>
    <x:row r="12">
      <x:c r="A12" s="11" t="str">
        <x:v>NAD</x:v>
      </x:c>
      <x:c r="B12" s="11" t="str">
        <x:v>NAD</x:v>
      </x:c>
      <x:c r="C12" s="11" t="str">
        <x:v>CHEBI:15846</x:v>
      </x:c>
      <x:c r="D12" s="11" t="str">
        <x:v>Easy negative: cofactor</x:v>
      </x:c>
      <x:c r="E12" s="11" t="str">
        <x:v>NOT antibiotic</x:v>
      </x:c>
      <x:c r="F12" s="11" t="str">
        <x:v>Common cofactor.</x:v>
      </x:c>
      <x:c r="G12" s="11" t="str">
        <x:v>No antibiotic evidence.</x:v>
      </x:c>
      <x:c r="H12" s="11" t="str">
        <x:v>High</x:v>
      </x:c>
      <x:c r="I12" s="11" t="str">
        <x:v>classifier == negative</x:v>
      </x:c>
      <x:c r="J12" s="11" t="str">
        <x:v>https://www.rcsb.org/ligand/NAD</x:v>
      </x:c>
    </x:row>
    <x:row r="13">
      <x:c r="A13" s="11" t="str">
        <x:v>Heme</x:v>
      </x:c>
      <x:c r="B13" s="11" t="str">
        <x:v>HEM</x:v>
      </x:c>
      <x:c r="C13" s="11" t="str">
        <x:v>CHEBI:30413</x:v>
      </x:c>
      <x:c r="D13" s="11" t="str">
        <x:v>Easy negative: prosthetic group</x:v>
      </x:c>
      <x:c r="E13" s="11" t="str">
        <x:v>NOT antibiotic</x:v>
      </x:c>
      <x:c r="F13" s="11" t="str">
        <x:v>Complex natural ligand with many PDB occurrences.</x:v>
      </x:c>
      <x:c r="G13" s="11" t="str">
        <x:v>Tests that natural-product-like chemistry is not enough.</x:v>
      </x:c>
      <x:c r="H13" s="11" t="str">
        <x:v>High</x:v>
      </x:c>
      <x:c r="I13" s="11" t="str">
        <x:v>classifier == negative</x:v>
      </x:c>
      <x:c r="J13" s="11" t="str">
        <x:v>https://www.rcsb.org/ligand/HEM</x:v>
      </x:c>
    </x:row>
    <x:row r="14">
      <x:c r="A14" s="11" t="str">
        <x:v>L-ornithine</x:v>
      </x:c>
      <x:c r="B14" s="11" t="str">
        <x:v>ORN</x:v>
      </x:c>
      <x:c r="C14" s="11" t="str">
        <x:v>CHEBI:15729</x:v>
      </x:c>
      <x:c r="D14" s="11" t="str">
        <x:v>Easy negative: metabolite</x:v>
      </x:c>
      <x:c r="E14" s="11" t="str">
        <x:v>NOT antibiotic</x:v>
      </x:c>
      <x:c r="F14" s="11" t="str">
        <x:v>Appears in the user's manually curated ribosome sheet (SpeFL/ornithine case), giving a same-domain negative.</x:v>
      </x:c>
      <x:c r="G14" s="11" t="str">
        <x:v>Biologically active ribosome-associated metabolite, but not an antibiotic.</x:v>
      </x:c>
      <x:c r="H14" s="11" t="str">
        <x:v>High</x:v>
      </x:c>
      <x:c r="I14" s="11" t="str">
        <x:v>classifier == negative</x:v>
      </x:c>
      <x:c r="J14" s="11" t="str">
        <x:v>https://www.rcsb.org/ligand/ORN</x:v>
      </x:c>
    </x:row>
    <x:row r="15">
      <x:c r="A15" s="11" t="str">
        <x:v>Fluconazole</x:v>
      </x:c>
      <x:c r="B15" s="11" t="str">
        <x:v>TPF</x:v>
      </x:c>
      <x:c r="C15" s="11" t="str">
        <x:v>CHEBI:46081</x:v>
      </x:c>
      <x:c r="D15" s="11" t="str">
        <x:v>Hard negative: non-antibacterial therapeutic</x:v>
      </x:c>
      <x:c r="E15" s="11" t="str">
        <x:v>NOT antibacterial antibiotic</x:v>
      </x:c>
      <x:c r="F15" s="11" t="str">
        <x:v>Clinically an antifungal drug, yet ChEBI also assigns an antibacterial-agent role.</x:v>
      </x:c>
      <x:c r="G15" s="11" t="str">
        <x:v>CHEBI:33282 alone would create a false positive.</x:v>
      </x:c>
      <x:c r="H15" s="11" t="str">
        <x:v>Confirmed PDB ligand (18 standalone entries)</x:v>
      </x:c>
      <x:c r="I15" s="11" t="str">
        <x:v>antibacterial-agent role alone MUST NOT yield antibiotic=True</x:v>
      </x:c>
      <x:c r="J15" s="11" t="str">
        <x:v>https://www.ebi.ac.uk/chebi/CHEBI%3A46081</x:v>
      </x:c>
    </x:row>
    <x:row r="16">
      <x:c r="A16" s="11" t="str">
        <x:v>Psilocybin</x:v>
      </x:c>
      <x:c r="B16" s="11" t="str">
        <x:v>X8Q</x:v>
      </x:c>
      <x:c r="C16" s="11" t="str">
        <x:v>CHEBI:8614</x:v>
      </x:c>
      <x:c r="D16" s="11" t="str">
        <x:v>Hard negative: ontology anomaly</x:v>
      </x:c>
      <x:c r="E16" s="11" t="str">
        <x:v>NOT antibiotic</x:v>
      </x:c>
      <x:c r="F16" s="11" t="str">
        <x:v>ChEBI currently lists psilocybin as having the antibacterial-drug role despite its unrelated pharmacology.</x:v>
      </x:c>
      <x:c r="G16" s="11" t="str">
        <x:v>CHEBI:36047 alone can generate a false positive.</x:v>
      </x:c>
      <x:c r="H16" s="11" t="str">
        <x:v>Confirmed PDB ligand</x:v>
      </x:c>
      <x:c r="I16" s="11" t="str">
        <x:v>antibacterial-drug role alone should be insufficient without corroboration</x:v>
      </x:c>
      <x:c r="J16" s="11" t="str">
        <x:v>https://www.rcsb.org/ligand/X8Q</x:v>
      </x:c>
    </x:row>
    <x:row r="17">
      <x:c r="A17" s="11" t="str">
        <x:v>Sodium chloride</x:v>
      </x:c>
      <x:c r="B17" s="11" t="str">
        <x:v>NA + CL rather than one usual CCD</x:v>
      </x:c>
      <x:c r="C17" s="11" t="str">
        <x:v>CHEBI:26710</x:v>
      </x:c>
      <x:c r="D17" s="11" t="str">
        <x:v>Hard negative: ontology anomaly</x:v>
      </x:c>
      <x:c r="E17" s="11" t="str">
        <x:v>NOT antibiotic</x:v>
      </x:c>
      <x:c r="F17" s="11" t="str">
        <x:v>ChEBI currently lists sodium chloride under antibacterial drug.</x:v>
      </x:c>
      <x:c r="G17" s="11" t="str">
        <x:v>Demonstrates that CHEBI:36047 cannot be treated as unquestioned truth.</x:v>
      </x:c>
      <x:c r="H17" s="11" t="str">
        <x:v>Common PDB ions, usually represented separately</x:v>
      </x:c>
      <x:c r="I17" s="11" t="str">
        <x:v>salt/ion filtering must override role-only hit</x:v>
      </x:c>
      <x:c r="J17" s="11" t="str">
        <x:v>https://www.ebi.ac.uk/chebi/CHEBI%3A36047</x:v>
      </x:c>
    </x:row>
    <x:row r="18">
      <x:c r="A18" s="11" t="str">
        <x:v>D-glucose</x:v>
      </x:c>
      <x:c r="B18" s="11" t="str">
        <x:v>GLC</x:v>
      </x:c>
      <x:c r="C18" s="11" t="str">
        <x:v>CHEBI:4167</x:v>
      </x:c>
      <x:c r="D18" s="11" t="str">
        <x:v>Hard negative: antibacterial-agent breadth</x:v>
      </x:c>
      <x:c r="E18" s="11" t="str">
        <x:v>NOT antibiotic</x:v>
      </x:c>
      <x:c r="F18" s="11" t="str">
        <x:v>A normal metabolite that appears in ChEBI's antibacterial-agent incoming relations.</x:v>
      </x:c>
      <x:c r="G18" s="11" t="str">
        <x:v>CHEBI:33282 is far broader than 'antibiotic'.</x:v>
      </x:c>
      <x:c r="H18" s="11" t="str">
        <x:v>Common PDB ligand</x:v>
      </x:c>
      <x:c r="I18" s="11" t="str">
        <x:v>CHEBI:33282 alone MUST NOT yield antibiotic=True</x:v>
      </x:c>
      <x:c r="J18" s="11" t="str">
        <x:v>https://www.ebi.ac.uk/chebi/CHEBI%3A33282</x:v>
      </x:c>
    </x:row>
    <x:row r="19">
      <x:c r="A19" s="11" t="str">
        <x:v>D-sorbitol</x:v>
      </x:c>
      <x:c r="B19" s="11" t="str">
        <x:v>SOR</x:v>
      </x:c>
      <x:c r="C19" s="11" t="str">
        <x:v>CHEBI:17924</x:v>
      </x:c>
      <x:c r="D19" s="11" t="str">
        <x:v>Hard negative: antibacterial-agent breadth</x:v>
      </x:c>
      <x:c r="E19" s="11" t="str">
        <x:v>NOT antibiotic</x:v>
      </x:c>
      <x:c r="F19" s="11" t="str">
        <x:v>Common polyol/metabolite listed by ChEBI as an antibacterial agent.</x:v>
      </x:c>
      <x:c r="G19" s="11" t="str">
        <x:v>Another direct stress test for CHEBI:33282.</x:v>
      </x:c>
      <x:c r="H19" s="11" t="str">
        <x:v>PDB-relevant small molecule</x:v>
      </x:c>
      <x:c r="I19" s="11" t="str">
        <x:v>CHEBI:33282 alone MUST NOT yield antibiotic=True</x:v>
      </x:c>
      <x:c r="J19" s="11" t="str">
        <x:v>https://www.ebi.ac.uk/chebi/CHEBI%3A33282</x:v>
      </x:c>
    </x:row>
    <x:row r="20">
      <x:c r="A20" s="11" t="str">
        <x:v>Xylitol</x:v>
      </x:c>
      <x:c r="B20" s="11" t="str">
        <x:v>XYL</x:v>
      </x:c>
      <x:c r="C20" s="11" t="str">
        <x:v>CHEBI:17151</x:v>
      </x:c>
      <x:c r="D20" s="11" t="str">
        <x:v>Hard negative: antibacterial-agent breadth</x:v>
      </x:c>
      <x:c r="E20" s="11" t="str">
        <x:v>NOT antibiotic</x:v>
      </x:c>
      <x:c r="F20" s="11" t="str">
        <x:v>Sugar alcohol with antibacterial-agent annotation, but not an antibiotic drug.</x:v>
      </x:c>
      <x:c r="G20" s="11" t="str">
        <x:v>Role breadth false positive.</x:v>
      </x:c>
      <x:c r="H20" s="11" t="str">
        <x:v>PDB-relevant small molecule</x:v>
      </x:c>
      <x:c r="I20" s="11" t="str">
        <x:v>CHEBI:33282 alone MUST NOT yield antibiotic=True</x:v>
      </x:c>
      <x:c r="J20" s="11" t="str">
        <x:v>https://www.ebi.ac.uk/chebi/CHEBI%3A33282</x:v>
      </x:c>
    </x:row>
    <x:row r="21">
      <x:c r="A21" s="11" t="str">
        <x:v>Formic acid</x:v>
      </x:c>
      <x:c r="B21" s="11" t="str">
        <x:v>FMT</x:v>
      </x:c>
      <x:c r="C21" s="11" t="str">
        <x:v>CHEBI:30751</x:v>
      </x:c>
      <x:c r="D21" s="11" t="str">
        <x:v>Hard negative: antibacterial-agent breadth</x:v>
      </x:c>
      <x:c r="E21" s="11" t="str">
        <x:v>NOT antibiotic</x:v>
      </x:c>
      <x:c r="F21" s="11" t="str">
        <x:v>Simple acid with antibacterial-agent annotation.</x:v>
      </x:c>
      <x:c r="G21" s="11" t="str">
        <x:v>Shows that growth-inhibitory chemistry is not equivalent to antibiotic.</x:v>
      </x:c>
      <x:c r="H21" s="11" t="str">
        <x:v>PDB-relevant small molecule</x:v>
      </x:c>
      <x:c r="I21" s="11" t="str">
        <x:v>CHEBI:33282 alone MUST NOT yield antibiotic=True</x:v>
      </x:c>
      <x:c r="J21" s="11" t="str">
        <x:v>https://www.ebi.ac.uk/chebi/CHEBI%3A33282</x:v>
      </x:c>
    </x:row>
    <x:row r="22">
      <x:c r="A22" s="11" t="str">
        <x:v>Hydrogen peroxide</x:v>
      </x:c>
      <x:c r="B22" s="11" t="str">
        <x:v>PEO</x:v>
      </x:c>
      <x:c r="C22" s="11" t="str">
        <x:v>CHEBI:16240</x:v>
      </x:c>
      <x:c r="D22" s="11" t="str">
        <x:v>Hard negative: antimicrobial breadth</x:v>
      </x:c>
      <x:c r="E22" s="11" t="str">
        <x:v>NOT antibiotic</x:v>
      </x:c>
      <x:c r="F22" s="11" t="str">
        <x:v>Antimicrobial/oxidizing agent rather than an antibiotic compound.</x:v>
      </x:c>
      <x:c r="G22" s="11" t="str">
        <x:v>CHEBI:33281/33282-like activity roles are too broad.</x:v>
      </x:c>
      <x:c r="H22" s="11" t="str">
        <x:v>Possible PDB reagent/ligand</x:v>
      </x:c>
      <x:c r="I22" s="11" t="str">
        <x:v>antimicrobial activity MUST NOT imply antibiotic</x:v>
      </x:c>
      <x:c r="J22" s="11" t="str">
        <x:v>https://www.ebi.ac.uk/chebi/chebiOntology.do?chebiId=33281</x:v>
      </x:c>
    </x:row>
    <x:row r="23">
      <x:c r="A23" s="11" t="str">
        <x:v>Avibactam</x:v>
      </x:c>
      <x:c r="B23" s="11" t="str">
        <x:v>FYG</x:v>
      </x:c>
      <x:c r="C23" s="11" t="str">
        <x:v>CHEBI:85984</x:v>
      </x:c>
      <x:c r="D23" s="11" t="str">
        <x:v>Challenge negative: antibiotic adjunct</x:v>
      </x:c>
      <x:c r="E23" s="11" t="str">
        <x:v>NOT antibiotic compound (adjunct)</x:v>
      </x:c>
      <x:c r="F23" s="11" t="str">
        <x:v>β-lactamase inhibitor used in antibacterial combination therapy; ChEBI gives it an antibacterial-drug role.</x:v>
      </x:c>
      <x:c r="G23" s="11" t="str">
        <x:v>Role-based classifier would likely call it an antibiotic although it is an antibiotic adjuvant.</x:v>
      </x:c>
      <x:c r="H23" s="11" t="str">
        <x:v>Confirmed PDB ligand</x:v>
      </x:c>
      <x:c r="I23" s="11" t="str">
        <x:v>classify as antibacterial adjunct / beta-lactamase inhibitor, not antibiotic</x:v>
      </x:c>
      <x:c r="J23" s="11" t="str">
        <x:v>https://www.ebi.ac.uk/chebi/searchId.do?chebiId=85984</x:v>
      </x:c>
    </x:row>
    <x:row r="24">
      <x:c r="A24" s="11" t="str">
        <x:v>Clavulanic acid</x:v>
      </x:c>
      <x:c r="B24" s="11" t="str">
        <x:v>J01</x:v>
      </x:c>
      <x:c r="C24" s="11" t="str">
        <x:v>CHEBI:48947</x:v>
      </x:c>
      <x:c r="D24" s="11" t="str">
        <x:v>Challenge / policy edge case</x:v>
      </x:c>
      <x:c r="E24" s="11" t="str">
        <x:v>ADJUNCT; flag for review</x:v>
      </x:c>
      <x:c r="F24" s="11" t="str">
        <x:v>β-lactamase inhibitor frequently combined with antibiotics; terminology can vary, so it is best treated as a challenge case rather than a clean negative.</x:v>
      </x:c>
      <x:c r="G24" s="11" t="str">
        <x:v>ChEBI assigns antibacterial-agent and antibacterial-drug roles.</x:v>
      </x:c>
      <x:c r="H24" s="11" t="str">
        <x:v>Confirmed PDB ligand</x:v>
      </x:c>
      <x:c r="I24" s="11" t="str">
        <x:v>do not use as precision denominator until project definition is fixed</x:v>
      </x:c>
      <x:c r="J24" s="11" t="str">
        <x:v>https://www.rcsb.org/ligand/J01</x:v>
      </x:c>
    </x:row>
    <x:row r="25">
      <x:c r="A25" s="11" t="str">
        <x:v>Fluconazole (broad-antimicrobial check)</x:v>
      </x:c>
      <x:c r="B25" s="11" t="str">
        <x:v>TPF</x:v>
      </x:c>
      <x:c r="C25" s="11" t="str">
        <x:v>CHEBI:46081</x:v>
      </x:c>
      <x:c r="D25" s="11" t="str">
        <x:v>Challenge: antimicrobial vs antibiotic semantics</x:v>
      </x:c>
      <x:c r="E25" s="11" t="str">
        <x:v>NOT antibacterial antibiotic</x:v>
      </x:c>
      <x:c r="F25" s="11" t="str">
        <x:v>ChEBI classifies it as an antifungal drug while also assigning antibacterial-agent activity.</x:v>
      </x:c>
      <x:c r="G25" s="11" t="str">
        <x:v>Useful to decide whether the project means 'antibacterial antibiotic' or 'antibiotic' in the broad natural-products sense.</x:v>
      </x:c>
      <x:c r="H25" s="11" t="str">
        <x:v>Confirmed PDB ligand</x:v>
      </x:c>
      <x:c r="I25" s="11" t="str">
        <x:v>must remain negative for antibacterial-antibiotic classifier</x:v>
      </x:c>
      <x:c r="J25" s="11" t="str">
        <x:v>https://www.ebi.ac.uk/chebi/CHEBI%3A46081</x:v>
      </x:c>
    </x:row>
  </x:sheetData>
  <x:conditionalFormatting sqref="D2:D25">
    <x:cfRule type="expression" dxfId="4" priority="1">
      <x:formula>ISNUMBER(SEARCH("Hard negative",D2))</x:formula>
    </x:cfRule>
    <x:cfRule type="expression" dxfId="5" priority="2">
      <x:formula>ISNUMBER(SEARCH("Easy negative",D2))</x:formula>
    </x:cfRule>
    <x:cfRule type="expression" dxfId="6" priority="3">
      <x:formula>ISNUMBER(SEARCH("Challenge",D2))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00" hidden="0" customWidth="1"/>
  </x:cols>
  <x:sheetData>
    <x:row r="1">
      <x:c r="A1" s="19" t="str">
        <x:v>Evaluation component</x:v>
      </x:c>
      <x:c r="B1" s="19" t="str">
        <x:v>Recommendation</x:v>
      </x:c>
    </x:row>
    <x:row r="2">
      <x:c r="A2" s="11" t="str">
        <x:v>Primary precision set</x:v>
      </x:c>
      <x:c r="B2" s="11" t="str">
        <x:v>Use the Easy negatives + Hard negatives with unequivocal expected labels. Keep clavulanic acid out of the main denominator because its 'antibiotic' terminology is definition-dependent.</x:v>
      </x:c>
    </x:row>
    <x:row r="3">
      <x:c r="A3" s="11" t="str">
        <x:v>Hard-negative priority</x:v>
      </x:c>
      <x:c r="B3" s="11" t="str">
        <x:v>Fluconazole (TPF), psilocybin (X8Q), sodium chloride ontology record, glucose, sorbitol, xylitol, formic acid and avibactam. These directly test whether ChEBI role terms are over-interpreted.</x:v>
      </x:c>
    </x:row>
    <x:row r="4">
      <x:c r="A4" s="11" t="str">
        <x:v>Same-domain controls</x:v>
      </x:c>
      <x:c r="B4" s="11" t="str">
        <x:v>Prioritize GTP/GDP/ornithine and other ligands actually observed in ribosome structures, because these test the classifier in the same structural context as the positive antibiotic set.</x:v>
      </x:c>
    </x:row>
    <x:row r="5">
      <x:c r="A5" s="11" t="str">
        <x:v>Suggested first metric</x:v>
      </x:c>
      <x:c r="B5" s="11" t="str">
        <x:v>Precision = TP / (TP + FP) on the manually curated positives + unequivocal negatives. Also report recall separately on the paper/manual positive benchmark.</x:v>
      </x:c>
    </x:row>
    <x:row r="6">
      <x:c r="A6" s="11" t="str">
        <x:v>Rule ablation</x:v>
      </x:c>
      <x:c r="B6" s="11" t="str">
        <x:v>Evaluate at least three rules: (1) CHEBI:36047 alone; (2) antibiotic-class ancestry alone; (3) combined rule with corroboration and exclusions. This will show exactly which ontology signal adds value.</x:v>
      </x:c>
    </x:row>
    <x:row r="7">
      <x:c r="A7" s="11" t="str">
        <x:v>Exclusion layer</x:v>
      </x:c>
      <x:c r="B7" s="11" t="str">
        <x:v>Before ontology classification, exclude water, simple inorganic ions, common buffers/cryoprotectants and obvious cofactors where appropriate. Record exclusions rather than silently dropping them.</x:v>
      </x:c>
    </x:row>
    <x:row r="8">
      <x:c r="A8" s="11" t="str">
        <x:v>Semantic target</x:v>
      </x:c>
      <x:c r="B8" s="11" t="str">
        <x:v>For the first version, define the target explicitly as 'antibacterial antibiotic compound' rather than all antimicrobial agents. This makes antifungal drugs a clean control class.</x:v>
      </x:c>
    </x:row>
    <x:row r="9">
      <x:c r="A9" s="11" t="str">
        <x:v>Do not overfit</x:v>
      </x:c>
      <x:c r="B9" s="11" t="str">
        <x:v>Keep a subset of negatives unseen while tuning ontology roots. Use them only once the rule is frozen.</x:v>
      </x:c>
    </x:row>
    <x:row r="10">
      <x:c r="A10" s="11" t="str">
        <x:v>Recommended split</x:v>
      </x:c>
      <x:c r="B10" s="11" t="str">
        <x:v>Development: ~70% of positives/negatives. Holdout: ~30%, stratified so hard negatives are represented in both sets.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24" hidden="0" customWidth="1"/>
    <x:col min="4" max="4" width="24" hidden="0" customWidth="1"/>
    <x:col min="5" max="5" width="18" hidden="0" customWidth="1"/>
    <x:col min="6" max="6" width="44" hidden="0" customWidth="1"/>
    <x:col min="7" max="7" width="19" hidden="0" customWidth="1"/>
    <x:col min="8" max="8" width="18" hidden="0" customWidth="1"/>
    <x:col min="9" max="9" width="15" hidden="0" customWidth="1"/>
    <x:col min="10" max="10" width="20" hidden="0" customWidth="1"/>
    <x:col min="11" max="11" width="16" hidden="0" customWidth="1"/>
  </x:cols>
  <x:sheetData>
    <x:row r="1">
      <x:c r="A1" s="24" t="str">
        <x:v>Compound / control</x:v>
      </x:c>
      <x:c r="B1" s="24" t="str">
        <x:v>Truth (1=antibiotic)</x:v>
      </x:c>
      <x:c r="C1" s="24" t="str">
        <x:v>Verified antibiotic-class signal</x:v>
      </x:c>
      <x:c r="D1" s="24" t="str">
        <x:v>Verified CHEBI:36047 signal</x:v>
      </x:c>
      <x:c r="E1" s="24" t="str">
        <x:v>Guard exclusion</x:v>
      </x:c>
      <x:c r="F1" s="24" t="str">
        <x:v>Audit note</x:v>
      </x:c>
      <x:c r="G1" s="24" t="str">
        <x:v>Rule A: drug role only</x:v>
      </x:c>
      <x:c r="H1" s="24" t="str">
        <x:v>Rule B: class only</x:v>
      </x:c>
      <x:c r="I1" s="24" t="str">
        <x:v>Rule C: OR</x:v>
      </x:c>
      <x:c r="J1" s="24" t="str">
        <x:v>Rule D: guarded OR</x:v>
      </x:c>
      <x:c r="K1" s="24" t="str">
        <x:v>Rule D result</x:v>
      </x:c>
    </x:row>
    <x:row r="2">
      <x:c r="A2" s="11" t="str">
        <x:v>Avilamycin C</x:v>
      </x:c>
      <x:c r="B2" s="11" t="n">
        <x:v>1</x:v>
      </x:c>
      <x:c r="C2" s="11" t="n">
        <x:v>0</x:v>
      </x:c>
      <x:c r="D2" s="11" t="n">
        <x:v>0</x:v>
      </x:c>
      <x:c r="E2" s="11" t="n">
        <x:v>0</x:v>
      </x:c>
      <x:c r="F2" s="11" t="str">
        <x:v>Exact ChEBI form unresolved</x:v>
      </x:c>
      <x:c r="G2" s="11" t="n">
        <x:f>D2</x:f>
        <x:v>0</x:v>
      </x:c>
      <x:c r="H2" s="11" t="n">
        <x:f>C2</x:f>
        <x:v>0</x:v>
      </x:c>
      <x:c r="I2" s="11" t="n">
        <x:f>IF(OR(C2=1,D2=1),1,0)</x:f>
        <x:v>0</x:v>
      </x:c>
      <x:c r="J2" s="11" t="n">
        <x:f>IF(AND(OR(C2=1,D2=1),E2=0),1,0)</x:f>
        <x:v>0</x:v>
      </x:c>
      <x:c r="K2" s="11" t="str">
        <x:f>IF(J2=B2,"correct","wrong")</x:f>
        <x:v>wrong</x:v>
      </x:c>
    </x:row>
    <x:row r="3">
      <x:c r="A3" s="11" t="str">
        <x:v>CEM-101 / solithromycin</x:v>
      </x:c>
      <x:c r="B3" s="11" t="n">
        <x:v>1</x:v>
      </x:c>
      <x:c r="C3" s="11" t="n">
        <x:v>0</x:v>
      </x:c>
      <x:c r="D3" s="11" t="n">
        <x:v>0</x:v>
      </x:c>
      <x:c r="E3" s="11" t="n">
        <x:v>0</x:v>
      </x:c>
      <x:c r="F3" s="11" t="str">
        <x:v>No usable ChEBI mapping in current audit</x:v>
      </x:c>
      <x:c r="G3" s="11" t="n">
        <x:f>D3</x:f>
        <x:v>0</x:v>
      </x:c>
      <x:c r="H3" s="11" t="n">
        <x:f>C3</x:f>
        <x:v>0</x:v>
      </x:c>
      <x:c r="I3" s="11" t="n">
        <x:f>IF(OR(C3=1,D3=1),1,0)</x:f>
        <x:v>0</x:v>
      </x:c>
      <x:c r="J3" s="11" t="n">
        <x:f>IF(AND(OR(C3=1,D3=1),E3=0),1,0)</x:f>
        <x:v>0</x:v>
      </x:c>
      <x:c r="K3" s="11" t="str">
        <x:f>IF(J3=B3,"correct","wrong")</x:f>
        <x:v>wrong</x:v>
      </x:c>
    </x:row>
    <x:row r="4">
      <x:c r="A4" s="11" t="str">
        <x:v>Chloramphenicol</x:v>
      </x:c>
      <x:c r="B4" s="11" t="n">
        <x:v>1</x:v>
      </x:c>
      <x:c r="C4" s="11" t="n">
        <x:v>0</x:v>
      </x:c>
      <x:c r="D4" s="11" t="n">
        <x:v>1</x:v>
      </x:c>
      <x:c r="E4" s="11" t="n">
        <x:v>0</x:v>
      </x:c>
      <x:c r="F4" s="11" t="str">
        <x:v>CHEBI:36047 verified</x:v>
      </x:c>
      <x:c r="G4" s="11" t="n">
        <x:f>D4</x:f>
        <x:v>1</x:v>
      </x:c>
      <x:c r="H4" s="11" t="n">
        <x:f>C4</x:f>
        <x:v>0</x:v>
      </x:c>
      <x:c r="I4" s="11" t="n">
        <x:f>IF(OR(C4=1,D4=1),1,0)</x:f>
        <x:v>1</x:v>
      </x:c>
      <x:c r="J4" s="11" t="n">
        <x:f>IF(AND(OR(C4=1,D4=1),E4=0),1,0)</x:f>
        <x:v>1</x:v>
      </x:c>
      <x:c r="K4" s="11" t="str">
        <x:f>IF(J4=B4,"correct","wrong")</x:f>
        <x:v>correct</x:v>
      </x:c>
    </x:row>
    <x:row r="5">
      <x:c r="A5" s="11" t="str">
        <x:v>Clindamycin</x:v>
      </x:c>
      <x:c r="B5" s="11" t="n">
        <x:v>1</x:v>
      </x:c>
      <x:c r="C5" s="11" t="n">
        <x:v>0</x:v>
      </x:c>
      <x:c r="D5" s="11" t="n">
        <x:v>0</x:v>
      </x:c>
      <x:c r="E5" s="11" t="n">
        <x:v>0</x:v>
      </x:c>
      <x:c r="F5" s="11" t="str">
        <x:v>Known antibiotic, exact ChEBI class/role not yet verified</x:v>
      </x:c>
      <x:c r="G5" s="11" t="n">
        <x:f>D5</x:f>
        <x:v>0</x:v>
      </x:c>
      <x:c r="H5" s="11" t="n">
        <x:f>C5</x:f>
        <x:v>0</x:v>
      </x:c>
      <x:c r="I5" s="11" t="n">
        <x:f>IF(OR(C5=1,D5=1),1,0)</x:f>
        <x:v>0</x:v>
      </x:c>
      <x:c r="J5" s="11" t="n">
        <x:f>IF(AND(OR(C5=1,D5=1),E5=0),1,0)</x:f>
        <x:v>0</x:v>
      </x:c>
      <x:c r="K5" s="11" t="str">
        <x:f>IF(J5=B5,"correct","wrong")</x:f>
        <x:v>wrong</x:v>
      </x:c>
    </x:row>
    <x:row r="6">
      <x:c r="A6" s="11" t="str">
        <x:v>Dalfopristin</x:v>
      </x:c>
      <x:c r="B6" s="11" t="n">
        <x:v>1</x:v>
      </x:c>
      <x:c r="C6" s="11" t="n">
        <x:v>0</x:v>
      </x:c>
      <x:c r="D6" s="11" t="n">
        <x:v>1</x:v>
      </x:c>
      <x:c r="E6" s="11" t="n">
        <x:v>0</x:v>
      </x:c>
      <x:c r="F6" s="11" t="str">
        <x:v>CHEBI:36047 verified</x:v>
      </x:c>
      <x:c r="G6" s="11" t="n">
        <x:f>D6</x:f>
        <x:v>1</x:v>
      </x:c>
      <x:c r="H6" s="11" t="n">
        <x:f>C6</x:f>
        <x:v>0</x:v>
      </x:c>
      <x:c r="I6" s="11" t="n">
        <x:f>IF(OR(C6=1,D6=1),1,0)</x:f>
        <x:v>1</x:v>
      </x:c>
      <x:c r="J6" s="11" t="n">
        <x:f>IF(AND(OR(C6=1,D6=1),E6=0),1,0)</x:f>
        <x:v>1</x:v>
      </x:c>
      <x:c r="K6" s="11" t="str">
        <x:f>IF(J6=B6,"correct","wrong")</x:f>
        <x:v>correct</x:v>
      </x:c>
    </x:row>
    <x:row r="7">
      <x:c r="A7" s="11" t="str">
        <x:v>Erythromycin A</x:v>
      </x:c>
      <x:c r="B7" s="11" t="n">
        <x:v>1</x:v>
      </x:c>
      <x:c r="C7" s="11" t="n">
        <x:v>1</x:v>
      </x:c>
      <x:c r="D7" s="11" t="n">
        <x:v>0</x:v>
      </x:c>
      <x:c r="E7" s="11" t="n">
        <x:v>0</x:v>
      </x:c>
      <x:c r="F7" s="11" t="str">
        <x:v>Macrolide-antibiotic class evidence</x:v>
      </x:c>
      <x:c r="G7" s="11" t="n">
        <x:f>D7</x:f>
        <x:v>0</x:v>
      </x:c>
      <x:c r="H7" s="11" t="n">
        <x:f>C7</x:f>
        <x:v>1</x:v>
      </x:c>
      <x:c r="I7" s="11" t="n">
        <x:f>IF(OR(C7=1,D7=1),1,0)</x:f>
        <x:v>1</x:v>
      </x:c>
      <x:c r="J7" s="11" t="n">
        <x:f>IF(AND(OR(C7=1,D7=1),E7=0),1,0)</x:f>
        <x:v>1</x:v>
      </x:c>
      <x:c r="K7" s="11" t="str">
        <x:f>IF(J7=B7,"correct","wrong")</x:f>
        <x:v>correct</x:v>
      </x:c>
    </x:row>
    <x:row r="8">
      <x:c r="A8" s="11" t="str">
        <x:v>Evernimycin</x:v>
      </x:c>
      <x:c r="B8" s="11" t="n">
        <x:v>1</x:v>
      </x:c>
      <x:c r="C8" s="11" t="n">
        <x:v>0</x:v>
      </x:c>
      <x:c r="D8" s="11" t="n">
        <x:v>0</x:v>
      </x:c>
      <x:c r="E8" s="11" t="n">
        <x:v>0</x:v>
      </x:c>
      <x:c r="F8" s="11" t="str">
        <x:v>Identity normalization still needed</x:v>
      </x:c>
      <x:c r="G8" s="11" t="n">
        <x:f>D8</x:f>
        <x:v>0</x:v>
      </x:c>
      <x:c r="H8" s="11" t="n">
        <x:f>C8</x:f>
        <x:v>0</x:v>
      </x:c>
      <x:c r="I8" s="11" t="n">
        <x:f>IF(OR(C8=1,D8=1),1,0)</x:f>
        <x:v>0</x:v>
      </x:c>
      <x:c r="J8" s="11" t="n">
        <x:f>IF(AND(OR(C8=1,D8=1),E8=0),1,0)</x:f>
        <x:v>0</x:v>
      </x:c>
      <x:c r="K8" s="11" t="str">
        <x:f>IF(J8=B8,"correct","wrong")</x:f>
        <x:v>wrong</x:v>
      </x:c>
    </x:row>
    <x:row r="9">
      <x:c r="A9" s="11" t="str">
        <x:v>Flopristin</x:v>
      </x:c>
      <x:c r="B9" s="11" t="n">
        <x:v>1</x:v>
      </x:c>
      <x:c r="C9" s="11" t="n">
        <x:v>0</x:v>
      </x:c>
      <x:c r="D9" s="11" t="n">
        <x:v>0</x:v>
      </x:c>
      <x:c r="E9" s="11" t="n">
        <x:v>0</x:v>
      </x:c>
      <x:c r="F9" s="11" t="str">
        <x:v>No reliable ChEBI mapping surfaced</x:v>
      </x:c>
      <x:c r="G9" s="11" t="n">
        <x:f>D9</x:f>
        <x:v>0</x:v>
      </x:c>
      <x:c r="H9" s="11" t="n">
        <x:f>C9</x:f>
        <x:v>0</x:v>
      </x:c>
      <x:c r="I9" s="11" t="n">
        <x:f>IF(OR(C9=1,D9=1),1,0)</x:f>
        <x:v>0</x:v>
      </x:c>
      <x:c r="J9" s="11" t="n">
        <x:f>IF(AND(OR(C9=1,D9=1),E9=0),1,0)</x:f>
        <x:v>0</x:v>
      </x:c>
      <x:c r="K9" s="11" t="str">
        <x:f>IF(J9=B9,"correct","wrong")</x:f>
        <x:v>wrong</x:v>
      </x:c>
    </x:row>
    <x:row r="10">
      <x:c r="A10" s="11" t="str">
        <x:v>Gentamicin</x:v>
      </x:c>
      <x:c r="B10" s="11" t="n">
        <x:v>1</x:v>
      </x:c>
      <x:c r="C10" s="11" t="n">
        <x:v>0</x:v>
      </x:c>
      <x:c r="D10" s="11" t="n">
        <x:v>0</x:v>
      </x:c>
      <x:c r="E10" s="11" t="n">
        <x:v>0</x:v>
      </x:c>
      <x:c r="F10" s="11" t="str">
        <x:v>Mixture/component issue</x:v>
      </x:c>
      <x:c r="G10" s="11" t="n">
        <x:f>D10</x:f>
        <x:v>0</x:v>
      </x:c>
      <x:c r="H10" s="11" t="n">
        <x:f>C10</x:f>
        <x:v>0</x:v>
      </x:c>
      <x:c r="I10" s="11" t="n">
        <x:f>IF(OR(C10=1,D10=1),1,0)</x:f>
        <x:v>0</x:v>
      </x:c>
      <x:c r="J10" s="11" t="n">
        <x:f>IF(AND(OR(C10=1,D10=1),E10=0),1,0)</x:f>
        <x:v>0</x:v>
      </x:c>
      <x:c r="K10" s="11" t="str">
        <x:f>IF(J10=B10,"correct","wrong")</x:f>
        <x:v>wrong</x:v>
      </x:c>
    </x:row>
    <x:row r="11">
      <x:c r="A11" s="11" t="str">
        <x:v>Hygromycin B</x:v>
      </x:c>
      <x:c r="B11" s="11" t="n">
        <x:v>1</x:v>
      </x:c>
      <x:c r="C11" s="11" t="n">
        <x:v>0</x:v>
      </x:c>
      <x:c r="D11" s="11" t="n">
        <x:v>0</x:v>
      </x:c>
      <x:c r="E11" s="11" t="n">
        <x:v>0</x:v>
      </x:c>
      <x:c r="F11" s="11" t="str">
        <x:v>ChEBI antibiotic class/role not verified in audit</x:v>
      </x:c>
      <x:c r="G11" s="11" t="n">
        <x:f>D11</x:f>
        <x:v>0</x:v>
      </x:c>
      <x:c r="H11" s="11" t="n">
        <x:f>C11</x:f>
        <x:v>0</x:v>
      </x:c>
      <x:c r="I11" s="11" t="n">
        <x:f>IF(OR(C11=1,D11=1),1,0)</x:f>
        <x:v>0</x:v>
      </x:c>
      <x:c r="J11" s="11" t="n">
        <x:f>IF(AND(OR(C11=1,D11=1),E11=0),1,0)</x:f>
        <x:v>0</x:v>
      </x:c>
      <x:c r="K11" s="11" t="str">
        <x:f>IF(J11=B11,"correct","wrong")</x:f>
        <x:v>wrong</x:v>
      </x:c>
    </x:row>
    <x:row r="12">
      <x:c r="A12" s="11" t="str">
        <x:v>Kasugamycin</x:v>
      </x:c>
      <x:c r="B12" s="11" t="n">
        <x:v>1</x:v>
      </x:c>
      <x:c r="C12" s="11" t="n">
        <x:v>1</x:v>
      </x:c>
      <x:c r="D12" s="11" t="n">
        <x:v>0</x:v>
      </x:c>
      <x:c r="E12" s="11" t="n">
        <x:v>0</x:v>
      </x:c>
      <x:c r="F12" s="11" t="str">
        <x:v>is_a aminoglycoside antibiotic</x:v>
      </x:c>
      <x:c r="G12" s="11" t="n">
        <x:f>D12</x:f>
        <x:v>0</x:v>
      </x:c>
      <x:c r="H12" s="11" t="n">
        <x:f>C12</x:f>
        <x:v>1</x:v>
      </x:c>
      <x:c r="I12" s="11" t="n">
        <x:f>IF(OR(C12=1,D12=1),1,0)</x:f>
        <x:v>1</x:v>
      </x:c>
      <x:c r="J12" s="11" t="n">
        <x:f>IF(AND(OR(C12=1,D12=1),E12=0),1,0)</x:f>
        <x:v>1</x:v>
      </x:c>
      <x:c r="K12" s="11" t="str">
        <x:f>IF(J12=B12,"correct","wrong")</x:f>
        <x:v>correct</x:v>
      </x:c>
    </x:row>
    <x:row r="13">
      <x:c r="A13" s="11" t="str">
        <x:v>Kirromycin / mocimycin</x:v>
      </x:c>
      <x:c r="B13" s="11" t="n">
        <x:v>1</x:v>
      </x:c>
      <x:c r="C13" s="11" t="n">
        <x:v>0</x:v>
      </x:c>
      <x:c r="D13" s="11" t="n">
        <x:v>0</x:v>
      </x:c>
      <x:c r="E13" s="11" t="n">
        <x:v>0</x:v>
      </x:c>
      <x:c r="F13" s="11" t="str">
        <x:v>Synonym normalized, class/role incomplete</x:v>
      </x:c>
      <x:c r="G13" s="11" t="n">
        <x:f>D13</x:f>
        <x:v>0</x:v>
      </x:c>
      <x:c r="H13" s="11" t="n">
        <x:f>C13</x:f>
        <x:v>0</x:v>
      </x:c>
      <x:c r="I13" s="11" t="n">
        <x:f>IF(OR(C13=1,D13=1),1,0)</x:f>
        <x:v>0</x:v>
      </x:c>
      <x:c r="J13" s="11" t="n">
        <x:f>IF(AND(OR(C13=1,D13=1),E13=0),1,0)</x:f>
        <x:v>0</x:v>
      </x:c>
      <x:c r="K13" s="11" t="str">
        <x:f>IF(J13=B13,"correct","wrong")</x:f>
        <x:v>wrong</x:v>
      </x:c>
    </x:row>
    <x:row r="14">
      <x:c r="A14" s="11" t="str">
        <x:v>Linopristin</x:v>
      </x:c>
      <x:c r="B14" s="11" t="n">
        <x:v>1</x:v>
      </x:c>
      <x:c r="C14" s="11" t="n">
        <x:v>0</x:v>
      </x:c>
      <x:c r="D14" s="11" t="n">
        <x:v>0</x:v>
      </x:c>
      <x:c r="E14" s="11" t="n">
        <x:v>0</x:v>
      </x:c>
      <x:c r="F14" s="11" t="str">
        <x:v>No reliable ChEBI mapping surfaced</x:v>
      </x:c>
      <x:c r="G14" s="11" t="n">
        <x:f>D14</x:f>
        <x:v>0</x:v>
      </x:c>
      <x:c r="H14" s="11" t="n">
        <x:f>C14</x:f>
        <x:v>0</x:v>
      </x:c>
      <x:c r="I14" s="11" t="n">
        <x:f>IF(OR(C14=1,D14=1),1,0)</x:f>
        <x:v>0</x:v>
      </x:c>
      <x:c r="J14" s="11" t="n">
        <x:f>IF(AND(OR(C14=1,D14=1),E14=0),1,0)</x:f>
        <x:v>0</x:v>
      </x:c>
      <x:c r="K14" s="11" t="str">
        <x:f>IF(J14=B14,"correct","wrong")</x:f>
        <x:v>wrong</x:v>
      </x:c>
    </x:row>
    <x:row r="15">
      <x:c r="A15" s="11" t="str">
        <x:v>Negamycin</x:v>
      </x:c>
      <x:c r="B15" s="11" t="n">
        <x:v>1</x:v>
      </x:c>
      <x:c r="C15" s="11" t="n">
        <x:v>0</x:v>
      </x:c>
      <x:c r="D15" s="11" t="n">
        <x:v>0</x:v>
      </x:c>
      <x:c r="E15" s="11" t="n">
        <x:v>0</x:v>
      </x:c>
      <x:c r="F15" s="11" t="str">
        <x:v>ChEBI ID known, no useful class/role retrieved</x:v>
      </x:c>
      <x:c r="G15" s="11" t="n">
        <x:f>D15</x:f>
        <x:v>0</x:v>
      </x:c>
      <x:c r="H15" s="11" t="n">
        <x:f>C15</x:f>
        <x:v>0</x:v>
      </x:c>
      <x:c r="I15" s="11" t="n">
        <x:f>IF(OR(C15=1,D15=1),1,0)</x:f>
        <x:v>0</x:v>
      </x:c>
      <x:c r="J15" s="11" t="n">
        <x:f>IF(AND(OR(C15=1,D15=1),E15=0),1,0)</x:f>
        <x:v>0</x:v>
      </x:c>
      <x:c r="K15" s="11" t="str">
        <x:f>IF(J15=B15,"correct","wrong")</x:f>
        <x:v>wrong</x:v>
      </x:c>
    </x:row>
    <x:row r="16">
      <x:c r="A16" s="11" t="str">
        <x:v>Neomycin</x:v>
      </x:c>
      <x:c r="B16" s="11" t="n">
        <x:v>1</x:v>
      </x:c>
      <x:c r="C16" s="11" t="n">
        <x:v>1</x:v>
      </x:c>
      <x:c r="D16" s="11" t="n">
        <x:v>0</x:v>
      </x:c>
      <x:c r="E16" s="11" t="n">
        <x:v>0</x:v>
      </x:c>
      <x:c r="F16" s="11" t="str">
        <x:v>Carbohydrate-containing antibiotic ancestry</x:v>
      </x:c>
      <x:c r="G16" s="11" t="n">
        <x:f>D16</x:f>
        <x:v>0</x:v>
      </x:c>
      <x:c r="H16" s="11" t="n">
        <x:f>C16</x:f>
        <x:v>1</x:v>
      </x:c>
      <x:c r="I16" s="11" t="n">
        <x:f>IF(OR(C16=1,D16=1),1,0)</x:f>
        <x:v>1</x:v>
      </x:c>
      <x:c r="J16" s="11" t="n">
        <x:f>IF(AND(OR(C16=1,D16=1),E16=0),1,0)</x:f>
        <x:v>1</x:v>
      </x:c>
      <x:c r="K16" s="11" t="str">
        <x:f>IF(J16=B16,"correct","wrong")</x:f>
        <x:v>correct</x:v>
      </x:c>
    </x:row>
    <x:row r="17">
      <x:c r="A17" s="11" t="str">
        <x:v>Paromomycin</x:v>
      </x:c>
      <x:c r="B17" s="11" t="n">
        <x:v>1</x:v>
      </x:c>
      <x:c r="C17" s="11" t="n">
        <x:v>0</x:v>
      </x:c>
      <x:c r="D17" s="11" t="n">
        <x:v>1</x:v>
      </x:c>
      <x:c r="E17" s="11" t="n">
        <x:v>0</x:v>
      </x:c>
      <x:c r="F17" s="11" t="str">
        <x:v>CHEBI:36047 signal</x:v>
      </x:c>
      <x:c r="G17" s="11" t="n">
        <x:f>D17</x:f>
        <x:v>1</x:v>
      </x:c>
      <x:c r="H17" s="11" t="n">
        <x:f>C17</x:f>
        <x:v>0</x:v>
      </x:c>
      <x:c r="I17" s="11" t="n">
        <x:f>IF(OR(C17=1,D17=1),1,0)</x:f>
        <x:v>1</x:v>
      </x:c>
      <x:c r="J17" s="11" t="n">
        <x:f>IF(AND(OR(C17=1,D17=1),E17=0),1,0)</x:f>
        <x:v>1</x:v>
      </x:c>
      <x:c r="K17" s="11" t="str">
        <x:f>IF(J17=B17,"correct","wrong")</x:f>
        <x:v>correct</x:v>
      </x:c>
    </x:row>
    <x:row r="18">
      <x:c r="A18" s="11" t="str">
        <x:v>Quinupristin</x:v>
      </x:c>
      <x:c r="B18" s="11" t="n">
        <x:v>1</x:v>
      </x:c>
      <x:c r="C18" s="11" t="n">
        <x:v>0</x:v>
      </x:c>
      <x:c r="D18" s="11" t="n">
        <x:v>0</x:v>
      </x:c>
      <x:c r="E18" s="11" t="n">
        <x:v>0</x:v>
      </x:c>
      <x:c r="F18" s="11" t="str">
        <x:v>Known streptogramin; individual role not verified</x:v>
      </x:c>
      <x:c r="G18" s="11" t="n">
        <x:f>D18</x:f>
        <x:v>0</x:v>
      </x:c>
      <x:c r="H18" s="11" t="n">
        <x:f>C18</x:f>
        <x:v>0</x:v>
      </x:c>
      <x:c r="I18" s="11" t="n">
        <x:f>IF(OR(C18=1,D18=1),1,0)</x:f>
        <x:v>0</x:v>
      </x:c>
      <x:c r="J18" s="11" t="n">
        <x:f>IF(AND(OR(C18=1,D18=1),E18=0),1,0)</x:f>
        <x:v>0</x:v>
      </x:c>
      <x:c r="K18" s="11" t="str">
        <x:f>IF(J18=B18,"correct","wrong")</x:f>
        <x:v>wrong</x:v>
      </x:c>
    </x:row>
    <x:row r="19">
      <x:c r="A19" s="11" t="str">
        <x:v>Spectinomycin</x:v>
      </x:c>
      <x:c r="B19" s="11" t="n">
        <x:v>1</x:v>
      </x:c>
      <x:c r="C19" s="11" t="n">
        <x:v>0</x:v>
      </x:c>
      <x:c r="D19" s="11" t="n">
        <x:v>1</x:v>
      </x:c>
      <x:c r="E19" s="11" t="n">
        <x:v>0</x:v>
      </x:c>
      <x:c r="F19" s="11" t="str">
        <x:v>CHEBI:36047 verified</x:v>
      </x:c>
      <x:c r="G19" s="11" t="n">
        <x:f>D19</x:f>
        <x:v>1</x:v>
      </x:c>
      <x:c r="H19" s="11" t="n">
        <x:f>C19</x:f>
        <x:v>0</x:v>
      </x:c>
      <x:c r="I19" s="11" t="n">
        <x:f>IF(OR(C19=1,D19=1),1,0)</x:f>
        <x:v>1</x:v>
      </x:c>
      <x:c r="J19" s="11" t="n">
        <x:f>IF(AND(OR(C19=1,D19=1),E19=0),1,0)</x:f>
        <x:v>1</x:v>
      </x:c>
      <x:c r="K19" s="11" t="str">
        <x:f>IF(J19=B19,"correct","wrong")</x:f>
        <x:v>correct</x:v>
      </x:c>
    </x:row>
    <x:row r="20">
      <x:c r="A20" s="11" t="str">
        <x:v>Telithromycin</x:v>
      </x:c>
      <x:c r="B20" s="11" t="n">
        <x:v>1</x:v>
      </x:c>
      <x:c r="C20" s="11" t="n">
        <x:v>0</x:v>
      </x:c>
      <x:c r="D20" s="11" t="n">
        <x:v>0</x:v>
      </x:c>
      <x:c r="E20" s="11" t="n">
        <x:v>0</x:v>
      </x:c>
      <x:c r="F20" s="11" t="str">
        <x:v>Known ketolide; exact ChEBI relation not verified</x:v>
      </x:c>
      <x:c r="G20" s="11" t="n">
        <x:f>D20</x:f>
        <x:v>0</x:v>
      </x:c>
      <x:c r="H20" s="11" t="n">
        <x:f>C20</x:f>
        <x:v>0</x:v>
      </x:c>
      <x:c r="I20" s="11" t="n">
        <x:f>IF(OR(C20=1,D20=1),1,0)</x:f>
        <x:v>0</x:v>
      </x:c>
      <x:c r="J20" s="11" t="n">
        <x:f>IF(AND(OR(C20=1,D20=1),E20=0),1,0)</x:f>
        <x:v>0</x:v>
      </x:c>
      <x:c r="K20" s="11" t="str">
        <x:f>IF(J20=B20,"correct","wrong")</x:f>
        <x:v>wrong</x:v>
      </x:c>
    </x:row>
    <x:row r="21">
      <x:c r="A21" s="11" t="str">
        <x:v>Tetracycline</x:v>
      </x:c>
      <x:c r="B21" s="11" t="n">
        <x:v>1</x:v>
      </x:c>
      <x:c r="C21" s="11" t="n">
        <x:v>1</x:v>
      </x:c>
      <x:c r="D21" s="11" t="n">
        <x:v>1</x:v>
      </x:c>
      <x:c r="E21" s="11" t="n">
        <x:v>0</x:v>
      </x:c>
      <x:c r="F21" s="11" t="str">
        <x:v>Class/definition + CHEBI:36047</x:v>
      </x:c>
      <x:c r="G21" s="11" t="n">
        <x:f>D21</x:f>
        <x:v>1</x:v>
      </x:c>
      <x:c r="H21" s="11" t="n">
        <x:f>C21</x:f>
        <x:v>1</x:v>
      </x:c>
      <x:c r="I21" s="11" t="n">
        <x:f>IF(OR(C21=1,D21=1),1,0)</x:f>
        <x:v>1</x:v>
      </x:c>
      <x:c r="J21" s="11" t="n">
        <x:f>IF(AND(OR(C21=1,D21=1),E21=0),1,0)</x:f>
        <x:v>1</x:v>
      </x:c>
      <x:c r="K21" s="11" t="str">
        <x:f>IF(J21=B21,"correct","wrong")</x:f>
        <x:v>correct</x:v>
      </x:c>
    </x:row>
    <x:row r="22">
      <x:c r="A22" s="11" t="str">
        <x:v>Tigecycline</x:v>
      </x:c>
      <x:c r="B22" s="11" t="n">
        <x:v>1</x:v>
      </x:c>
      <x:c r="C22" s="11" t="n">
        <x:v>1</x:v>
      </x:c>
      <x:c r="D22" s="11" t="n">
        <x:v>1</x:v>
      </x:c>
      <x:c r="E22" s="11" t="n">
        <x:v>0</x:v>
      </x:c>
      <x:c r="F22" s="11" t="str">
        <x:v>Glycylcycline antibiotic + CHEBI:36047</x:v>
      </x:c>
      <x:c r="G22" s="11" t="n">
        <x:f>D22</x:f>
        <x:v>1</x:v>
      </x:c>
      <x:c r="H22" s="11" t="n">
        <x:f>C22</x:f>
        <x:v>1</x:v>
      </x:c>
      <x:c r="I22" s="11" t="n">
        <x:f>IF(OR(C22=1,D22=1),1,0)</x:f>
        <x:v>1</x:v>
      </x:c>
      <x:c r="J22" s="11" t="n">
        <x:f>IF(AND(OR(C22=1,D22=1),E22=0),1,0)</x:f>
        <x:v>1</x:v>
      </x:c>
      <x:c r="K22" s="11" t="str">
        <x:f>IF(J22=B22,"correct","wrong")</x:f>
        <x:v>correct</x:v>
      </x:c>
    </x:row>
    <x:row r="23">
      <x:c r="A23" s="11" t="str">
        <x:v>Viomycin</x:v>
      </x:c>
      <x:c r="B23" s="11" t="n">
        <x:v>1</x:v>
      </x:c>
      <x:c r="C23" s="11" t="n">
        <x:v>0</x:v>
      </x:c>
      <x:c r="D23" s="11" t="n">
        <x:v>0</x:v>
      </x:c>
      <x:c r="E23" s="11" t="n">
        <x:v>0</x:v>
      </x:c>
      <x:c r="F23" s="11" t="str">
        <x:v>Known antibiotic, ontology evidence incomplete</x:v>
      </x:c>
      <x:c r="G23" s="11" t="n">
        <x:f>D23</x:f>
        <x:v>0</x:v>
      </x:c>
      <x:c r="H23" s="11" t="n">
        <x:f>C23</x:f>
        <x:v>0</x:v>
      </x:c>
      <x:c r="I23" s="11" t="n">
        <x:f>IF(OR(C23=1,D23=1),1,0)</x:f>
        <x:v>0</x:v>
      </x:c>
      <x:c r="J23" s="11" t="n">
        <x:f>IF(AND(OR(C23=1,D23=1),E23=0),1,0)</x:f>
        <x:v>0</x:v>
      </x:c>
      <x:c r="K23" s="11" t="str">
        <x:f>IF(J23=B23,"correct","wrong")</x:f>
        <x:v>wrong</x:v>
      </x:c>
    </x:row>
    <x:row r="24">
      <x:c r="A24" s="11" t="str">
        <x:v>Virginiamycin</x:v>
      </x:c>
      <x:c r="B24" s="11" t="n">
        <x:v>1</x:v>
      </x:c>
      <x:c r="C24" s="11" t="n">
        <x:v>1</x:v>
      </x:c>
      <x:c r="D24" s="11" t="n">
        <x:v>1</x:v>
      </x:c>
      <x:c r="E24" s="11" t="n">
        <x:v>0</x:v>
      </x:c>
      <x:c r="F24" s="11" t="str">
        <x:v>Macrolide component + CHEBI:36047</x:v>
      </x:c>
      <x:c r="G24" s="11" t="n">
        <x:f>D24</x:f>
        <x:v>1</x:v>
      </x:c>
      <x:c r="H24" s="11" t="n">
        <x:f>C24</x:f>
        <x:v>1</x:v>
      </x:c>
      <x:c r="I24" s="11" t="n">
        <x:f>IF(OR(C24=1,D24=1),1,0)</x:f>
        <x:v>1</x:v>
      </x:c>
      <x:c r="J24" s="11" t="n">
        <x:f>IF(AND(OR(C24=1,D24=1),E24=0),1,0)</x:f>
        <x:v>1</x:v>
      </x:c>
      <x:c r="K24" s="11" t="str">
        <x:f>IF(J24=B24,"correct","wrong")</x:f>
        <x:v>correct</x:v>
      </x:c>
    </x:row>
    <x:row r="25">
      <x:c r="A25" s="11" t="str">
        <x:v>Water</x:v>
      </x:c>
      <x:c r="B25" s="11" t="n">
        <x:v>0</x:v>
      </x:c>
      <x:c r="C25" s="11" t="n">
        <x:v>0</x:v>
      </x:c>
      <x:c r="D25" s="11" t="n">
        <x:v>0</x:v>
      </x:c>
      <x:c r="E25" s="11" t="n">
        <x:v>0</x:v>
      </x:c>
      <x:c r="F25" s="11" t="str">
        <x:v>Easy negative</x:v>
      </x:c>
      <x:c r="G25" s="11" t="n">
        <x:f>D25</x:f>
        <x:v>0</x:v>
      </x:c>
      <x:c r="H25" s="11" t="n">
        <x:f>C25</x:f>
        <x:v>0</x:v>
      </x:c>
      <x:c r="I25" s="11" t="n">
        <x:f>IF(OR(C25=1,D25=1),1,0)</x:f>
        <x:v>0</x:v>
      </x:c>
      <x:c r="J25" s="11" t="n">
        <x:f>IF(AND(OR(C25=1,D25=1),E25=0),1,0)</x:f>
        <x:v>0</x:v>
      </x:c>
      <x:c r="K25" s="11" t="str">
        <x:f>IF(J25=B25,"correct","wrong")</x:f>
        <x:v>correct</x:v>
      </x:c>
    </x:row>
    <x:row r="26">
      <x:c r="A26" s="11" t="str">
        <x:v>Glycerol</x:v>
      </x:c>
      <x:c r="B26" s="11" t="n">
        <x:v>0</x:v>
      </x:c>
      <x:c r="C26" s="11" t="n">
        <x:v>0</x:v>
      </x:c>
      <x:c r="D26" s="11" t="n">
        <x:v>0</x:v>
      </x:c>
      <x:c r="E26" s="11" t="n">
        <x:v>0</x:v>
      </x:c>
      <x:c r="F26" s="11" t="str">
        <x:v>Easy negative</x:v>
      </x:c>
      <x:c r="G26" s="11" t="n">
        <x:f>D26</x:f>
        <x:v>0</x:v>
      </x:c>
      <x:c r="H26" s="11" t="n">
        <x:f>C26</x:f>
        <x:v>0</x:v>
      </x:c>
      <x:c r="I26" s="11" t="n">
        <x:f>IF(OR(C26=1,D26=1),1,0)</x:f>
        <x:v>0</x:v>
      </x:c>
      <x:c r="J26" s="11" t="n">
        <x:f>IF(AND(OR(C26=1,D26=1),E26=0),1,0)</x:f>
        <x:v>0</x:v>
      </x:c>
      <x:c r="K26" s="11" t="str">
        <x:f>IF(J26=B26,"correct","wrong")</x:f>
        <x:v>correct</x:v>
      </x:c>
    </x:row>
    <x:row r="27">
      <x:c r="A27" s="11" t="str">
        <x:v>Ethylene glycol</x:v>
      </x:c>
      <x:c r="B27" s="11" t="n">
        <x:v>0</x:v>
      </x:c>
      <x:c r="C27" s="11" t="n">
        <x:v>0</x:v>
      </x:c>
      <x:c r="D27" s="11" t="n">
        <x:v>0</x:v>
      </x:c>
      <x:c r="E27" s="11" t="n">
        <x:v>0</x:v>
      </x:c>
      <x:c r="F27" s="11" t="str">
        <x:v>Easy negative</x:v>
      </x:c>
      <x:c r="G27" s="11" t="n">
        <x:f>D27</x:f>
        <x:v>0</x:v>
      </x:c>
      <x:c r="H27" s="11" t="n">
        <x:f>C27</x:f>
        <x:v>0</x:v>
      </x:c>
      <x:c r="I27" s="11" t="n">
        <x:f>IF(OR(C27=1,D27=1),1,0)</x:f>
        <x:v>0</x:v>
      </x:c>
      <x:c r="J27" s="11" t="n">
        <x:f>IF(AND(OR(C27=1,D27=1),E27=0),1,0)</x:f>
        <x:v>0</x:v>
      </x:c>
      <x:c r="K27" s="11" t="str">
        <x:f>IF(J27=B27,"correct","wrong")</x:f>
        <x:v>correct</x:v>
      </x:c>
    </x:row>
    <x:row r="28">
      <x:c r="A28" s="11" t="str">
        <x:v>Sulfate</x:v>
      </x:c>
      <x:c r="B28" s="11" t="n">
        <x:v>0</x:v>
      </x:c>
      <x:c r="C28" s="11" t="n">
        <x:v>0</x:v>
      </x:c>
      <x:c r="D28" s="11" t="n">
        <x:v>0</x:v>
      </x:c>
      <x:c r="E28" s="11" t="n">
        <x:v>0</x:v>
      </x:c>
      <x:c r="F28" s="11" t="str">
        <x:v>Easy negative</x:v>
      </x:c>
      <x:c r="G28" s="11" t="n">
        <x:f>D28</x:f>
        <x:v>0</x:v>
      </x:c>
      <x:c r="H28" s="11" t="n">
        <x:f>C28</x:f>
        <x:v>0</x:v>
      </x:c>
      <x:c r="I28" s="11" t="n">
        <x:f>IF(OR(C28=1,D28=1),1,0)</x:f>
        <x:v>0</x:v>
      </x:c>
      <x:c r="J28" s="11" t="n">
        <x:f>IF(AND(OR(C28=1,D28=1),E28=0),1,0)</x:f>
        <x:v>0</x:v>
      </x:c>
      <x:c r="K28" s="11" t="str">
        <x:f>IF(J28=B28,"correct","wrong")</x:f>
        <x:v>correct</x:v>
      </x:c>
    </x:row>
    <x:row r="29">
      <x:c r="A29" s="11" t="str">
        <x:v>Phosphate</x:v>
      </x:c>
      <x:c r="B29" s="11" t="n">
        <x:v>0</x:v>
      </x:c>
      <x:c r="C29" s="11" t="n">
        <x:v>0</x:v>
      </x:c>
      <x:c r="D29" s="11" t="n">
        <x:v>0</x:v>
      </x:c>
      <x:c r="E29" s="11" t="n">
        <x:v>0</x:v>
      </x:c>
      <x:c r="F29" s="11" t="str">
        <x:v>Easy negative</x:v>
      </x:c>
      <x:c r="G29" s="11" t="n">
        <x:f>D29</x:f>
        <x:v>0</x:v>
      </x:c>
      <x:c r="H29" s="11" t="n">
        <x:f>C29</x:f>
        <x:v>0</x:v>
      </x:c>
      <x:c r="I29" s="11" t="n">
        <x:f>IF(OR(C29=1,D29=1),1,0)</x:f>
        <x:v>0</x:v>
      </x:c>
      <x:c r="J29" s="11" t="n">
        <x:f>IF(AND(OR(C29=1,D29=1),E29=0),1,0)</x:f>
        <x:v>0</x:v>
      </x:c>
      <x:c r="K29" s="11" t="str">
        <x:f>IF(J29=B29,"correct","wrong")</x:f>
        <x:v>correct</x:v>
      </x:c>
    </x:row>
    <x:row r="30">
      <x:c r="A30" s="11" t="str">
        <x:v>ATP</x:v>
      </x:c>
      <x:c r="B30" s="11" t="n">
        <x:v>0</x:v>
      </x:c>
      <x:c r="C30" s="11" t="n">
        <x:v>0</x:v>
      </x:c>
      <x:c r="D30" s="11" t="n">
        <x:v>0</x:v>
      </x:c>
      <x:c r="E30" s="11" t="n">
        <x:v>0</x:v>
      </x:c>
      <x:c r="F30" s="11" t="str">
        <x:v>Easy negative</x:v>
      </x:c>
      <x:c r="G30" s="11" t="n">
        <x:f>D30</x:f>
        <x:v>0</x:v>
      </x:c>
      <x:c r="H30" s="11" t="n">
        <x:f>C30</x:f>
        <x:v>0</x:v>
      </x:c>
      <x:c r="I30" s="11" t="n">
        <x:f>IF(OR(C30=1,D30=1),1,0)</x:f>
        <x:v>0</x:v>
      </x:c>
      <x:c r="J30" s="11" t="n">
        <x:f>IF(AND(OR(C30=1,D30=1),E30=0),1,0)</x:f>
        <x:v>0</x:v>
      </x:c>
      <x:c r="K30" s="11" t="str">
        <x:f>IF(J30=B30,"correct","wrong")</x:f>
        <x:v>correct</x:v>
      </x:c>
    </x:row>
    <x:row r="31">
      <x:c r="A31" s="11" t="str">
        <x:v>ADP</x:v>
      </x:c>
      <x:c r="B31" s="11" t="n">
        <x:v>0</x:v>
      </x:c>
      <x:c r="C31" s="11" t="n">
        <x:v>0</x:v>
      </x:c>
      <x:c r="D31" s="11" t="n">
        <x:v>0</x:v>
      </x:c>
      <x:c r="E31" s="11" t="n">
        <x:v>0</x:v>
      </x:c>
      <x:c r="F31" s="11" t="str">
        <x:v>Easy negative</x:v>
      </x:c>
      <x:c r="G31" s="11" t="n">
        <x:f>D31</x:f>
        <x:v>0</x:v>
      </x:c>
      <x:c r="H31" s="11" t="n">
        <x:f>C31</x:f>
        <x:v>0</x:v>
      </x:c>
      <x:c r="I31" s="11" t="n">
        <x:f>IF(OR(C31=1,D31=1),1,0)</x:f>
        <x:v>0</x:v>
      </x:c>
      <x:c r="J31" s="11" t="n">
        <x:f>IF(AND(OR(C31=1,D31=1),E31=0),1,0)</x:f>
        <x:v>0</x:v>
      </x:c>
      <x:c r="K31" s="11" t="str">
        <x:f>IF(J31=B31,"correct","wrong")</x:f>
        <x:v>correct</x:v>
      </x:c>
    </x:row>
    <x:row r="32">
      <x:c r="A32" s="11" t="str">
        <x:v>GTP</x:v>
      </x:c>
      <x:c r="B32" s="11" t="n">
        <x:v>0</x:v>
      </x:c>
      <x:c r="C32" s="11" t="n">
        <x:v>0</x:v>
      </x:c>
      <x:c r="D32" s="11" t="n">
        <x:v>0</x:v>
      </x:c>
      <x:c r="E32" s="11" t="n">
        <x:v>0</x:v>
      </x:c>
      <x:c r="F32" s="11" t="str">
        <x:v>Easy negative</x:v>
      </x:c>
      <x:c r="G32" s="11" t="n">
        <x:f>D32</x:f>
        <x:v>0</x:v>
      </x:c>
      <x:c r="H32" s="11" t="n">
        <x:f>C32</x:f>
        <x:v>0</x:v>
      </x:c>
      <x:c r="I32" s="11" t="n">
        <x:f>IF(OR(C32=1,D32=1),1,0)</x:f>
        <x:v>0</x:v>
      </x:c>
      <x:c r="J32" s="11" t="n">
        <x:f>IF(AND(OR(C32=1,D32=1),E32=0),1,0)</x:f>
        <x:v>0</x:v>
      </x:c>
      <x:c r="K32" s="11" t="str">
        <x:f>IF(J32=B32,"correct","wrong")</x:f>
        <x:v>correct</x:v>
      </x:c>
    </x:row>
    <x:row r="33">
      <x:c r="A33" s="11" t="str">
        <x:v>GDP</x:v>
      </x:c>
      <x:c r="B33" s="11" t="n">
        <x:v>0</x:v>
      </x:c>
      <x:c r="C33" s="11" t="n">
        <x:v>0</x:v>
      </x:c>
      <x:c r="D33" s="11" t="n">
        <x:v>0</x:v>
      </x:c>
      <x:c r="E33" s="11" t="n">
        <x:v>0</x:v>
      </x:c>
      <x:c r="F33" s="11" t="str">
        <x:v>Easy negative</x:v>
      </x:c>
      <x:c r="G33" s="11" t="n">
        <x:f>D33</x:f>
        <x:v>0</x:v>
      </x:c>
      <x:c r="H33" s="11" t="n">
        <x:f>C33</x:f>
        <x:v>0</x:v>
      </x:c>
      <x:c r="I33" s="11" t="n">
        <x:f>IF(OR(C33=1,D33=1),1,0)</x:f>
        <x:v>0</x:v>
      </x:c>
      <x:c r="J33" s="11" t="n">
        <x:f>IF(AND(OR(C33=1,D33=1),E33=0),1,0)</x:f>
        <x:v>0</x:v>
      </x:c>
      <x:c r="K33" s="11" t="str">
        <x:f>IF(J33=B33,"correct","wrong")</x:f>
        <x:v>correct</x:v>
      </x:c>
    </x:row>
    <x:row r="34">
      <x:c r="A34" s="11" t="str">
        <x:v>FAD</x:v>
      </x:c>
      <x:c r="B34" s="11" t="n">
        <x:v>0</x:v>
      </x:c>
      <x:c r="C34" s="11" t="n">
        <x:v>0</x:v>
      </x:c>
      <x:c r="D34" s="11" t="n">
        <x:v>0</x:v>
      </x:c>
      <x:c r="E34" s="11" t="n">
        <x:v>0</x:v>
      </x:c>
      <x:c r="F34" s="11" t="str">
        <x:v>Easy negative</x:v>
      </x:c>
      <x:c r="G34" s="11" t="n">
        <x:f>D34</x:f>
        <x:v>0</x:v>
      </x:c>
      <x:c r="H34" s="11" t="n">
        <x:f>C34</x:f>
        <x:v>0</x:v>
      </x:c>
      <x:c r="I34" s="11" t="n">
        <x:f>IF(OR(C34=1,D34=1),1,0)</x:f>
        <x:v>0</x:v>
      </x:c>
      <x:c r="J34" s="11" t="n">
        <x:f>IF(AND(OR(C34=1,D34=1),E34=0),1,0)</x:f>
        <x:v>0</x:v>
      </x:c>
      <x:c r="K34" s="11" t="str">
        <x:f>IF(J34=B34,"correct","wrong")</x:f>
        <x:v>correct</x:v>
      </x:c>
    </x:row>
    <x:row r="35">
      <x:c r="A35" s="11" t="str">
        <x:v>NAD</x:v>
      </x:c>
      <x:c r="B35" s="11" t="n">
        <x:v>0</x:v>
      </x:c>
      <x:c r="C35" s="11" t="n">
        <x:v>0</x:v>
      </x:c>
      <x:c r="D35" s="11" t="n">
        <x:v>0</x:v>
      </x:c>
      <x:c r="E35" s="11" t="n">
        <x:v>0</x:v>
      </x:c>
      <x:c r="F35" s="11" t="str">
        <x:v>Easy negative</x:v>
      </x:c>
      <x:c r="G35" s="11" t="n">
        <x:f>D35</x:f>
        <x:v>0</x:v>
      </x:c>
      <x:c r="H35" s="11" t="n">
        <x:f>C35</x:f>
        <x:v>0</x:v>
      </x:c>
      <x:c r="I35" s="11" t="n">
        <x:f>IF(OR(C35=1,D35=1),1,0)</x:f>
        <x:v>0</x:v>
      </x:c>
      <x:c r="J35" s="11" t="n">
        <x:f>IF(AND(OR(C35=1,D35=1),E35=0),1,0)</x:f>
        <x:v>0</x:v>
      </x:c>
      <x:c r="K35" s="11" t="str">
        <x:f>IF(J35=B35,"correct","wrong")</x:f>
        <x:v>correct</x:v>
      </x:c>
    </x:row>
    <x:row r="36">
      <x:c r="A36" s="11" t="str">
        <x:v>Heme</x:v>
      </x:c>
      <x:c r="B36" s="11" t="n">
        <x:v>0</x:v>
      </x:c>
      <x:c r="C36" s="11" t="n">
        <x:v>0</x:v>
      </x:c>
      <x:c r="D36" s="11" t="n">
        <x:v>0</x:v>
      </x:c>
      <x:c r="E36" s="11" t="n">
        <x:v>0</x:v>
      </x:c>
      <x:c r="F36" s="11" t="str">
        <x:v>Easy negative</x:v>
      </x:c>
      <x:c r="G36" s="11" t="n">
        <x:f>D36</x:f>
        <x:v>0</x:v>
      </x:c>
      <x:c r="H36" s="11" t="n">
        <x:f>C36</x:f>
        <x:v>0</x:v>
      </x:c>
      <x:c r="I36" s="11" t="n">
        <x:f>IF(OR(C36=1,D36=1),1,0)</x:f>
        <x:v>0</x:v>
      </x:c>
      <x:c r="J36" s="11" t="n">
        <x:f>IF(AND(OR(C36=1,D36=1),E36=0),1,0)</x:f>
        <x:v>0</x:v>
      </x:c>
      <x:c r="K36" s="11" t="str">
        <x:f>IF(J36=B36,"correct","wrong")</x:f>
        <x:v>correct</x:v>
      </x:c>
    </x:row>
    <x:row r="37">
      <x:c r="A37" s="11" t="str">
        <x:v>L-ornithine</x:v>
      </x:c>
      <x:c r="B37" s="11" t="n">
        <x:v>0</x:v>
      </x:c>
      <x:c r="C37" s="11" t="n">
        <x:v>0</x:v>
      </x:c>
      <x:c r="D37" s="11" t="n">
        <x:v>0</x:v>
      </x:c>
      <x:c r="E37" s="11" t="n">
        <x:v>0</x:v>
      </x:c>
      <x:c r="F37" s="11" t="str">
        <x:v>Same-domain negative</x:v>
      </x:c>
      <x:c r="G37" s="11" t="n">
        <x:f>D37</x:f>
        <x:v>0</x:v>
      </x:c>
      <x:c r="H37" s="11" t="n">
        <x:f>C37</x:f>
        <x:v>0</x:v>
      </x:c>
      <x:c r="I37" s="11" t="n">
        <x:f>IF(OR(C37=1,D37=1),1,0)</x:f>
        <x:v>0</x:v>
      </x:c>
      <x:c r="J37" s="11" t="n">
        <x:f>IF(AND(OR(C37=1,D37=1),E37=0),1,0)</x:f>
        <x:v>0</x:v>
      </x:c>
      <x:c r="K37" s="11" t="str">
        <x:f>IF(J37=B37,"correct","wrong")</x:f>
        <x:v>correct</x:v>
      </x:c>
    </x:row>
    <x:row r="38">
      <x:c r="A38" s="11" t="str">
        <x:v>Fluconazole</x:v>
      </x:c>
      <x:c r="B38" s="11" t="n">
        <x:v>0</x:v>
      </x:c>
      <x:c r="C38" s="11" t="n">
        <x:v>0</x:v>
      </x:c>
      <x:c r="D38" s="11" t="n">
        <x:v>0</x:v>
      </x:c>
      <x:c r="E38" s="11" t="n">
        <x:v>0</x:v>
      </x:c>
      <x:c r="F38" s="11" t="str">
        <x:v>Antibacterial-agent only; not CHEBI:36047 in this audit</x:v>
      </x:c>
      <x:c r="G38" s="11" t="n">
        <x:f>D38</x:f>
        <x:v>0</x:v>
      </x:c>
      <x:c r="H38" s="11" t="n">
        <x:f>C38</x:f>
        <x:v>0</x:v>
      </x:c>
      <x:c r="I38" s="11" t="n">
        <x:f>IF(OR(C38=1,D38=1),1,0)</x:f>
        <x:v>0</x:v>
      </x:c>
      <x:c r="J38" s="11" t="n">
        <x:f>IF(AND(OR(C38=1,D38=1),E38=0),1,0)</x:f>
        <x:v>0</x:v>
      </x:c>
      <x:c r="K38" s="11" t="str">
        <x:f>IF(J38=B38,"correct","wrong")</x:f>
        <x:v>correct</x:v>
      </x:c>
    </x:row>
    <x:row r="39">
      <x:c r="A39" s="11" t="str">
        <x:v>Psilocybin</x:v>
      </x:c>
      <x:c r="B39" s="11" t="n">
        <x:v>0</x:v>
      </x:c>
      <x:c r="C39" s="11" t="n">
        <x:v>0</x:v>
      </x:c>
      <x:c r="D39" s="11" t="n">
        <x:v>1</x:v>
      </x:c>
      <x:c r="E39" s="11" t="n">
        <x:v>1</x:v>
      </x:c>
      <x:c r="F39" s="11" t="str">
        <x:v>CHEBI:36047 anomaly; guard exclusion</x:v>
      </x:c>
      <x:c r="G39" s="11" t="n">
        <x:f>D39</x:f>
        <x:v>1</x:v>
      </x:c>
      <x:c r="H39" s="11" t="n">
        <x:f>C39</x:f>
        <x:v>0</x:v>
      </x:c>
      <x:c r="I39" s="11" t="n">
        <x:f>IF(OR(C39=1,D39=1),1,0)</x:f>
        <x:v>1</x:v>
      </x:c>
      <x:c r="J39" s="11" t="n">
        <x:f>IF(AND(OR(C39=1,D39=1),E39=0),1,0)</x:f>
        <x:v>0</x:v>
      </x:c>
      <x:c r="K39" s="11" t="str">
        <x:f>IF(J39=B39,"correct","wrong")</x:f>
        <x:v>correct</x:v>
      </x:c>
    </x:row>
    <x:row r="40">
      <x:c r="A40" s="11" t="str">
        <x:v>Sodium chloride</x:v>
      </x:c>
      <x:c r="B40" s="11" t="n">
        <x:v>0</x:v>
      </x:c>
      <x:c r="C40" s="11" t="n">
        <x:v>0</x:v>
      </x:c>
      <x:c r="D40" s="11" t="n">
        <x:v>1</x:v>
      </x:c>
      <x:c r="E40" s="11" t="n">
        <x:v>1</x:v>
      </x:c>
      <x:c r="F40" s="11" t="str">
        <x:v>CHEBI:36047 anomaly; inorganic/salt guard</x:v>
      </x:c>
      <x:c r="G40" s="11" t="n">
        <x:f>D40</x:f>
        <x:v>1</x:v>
      </x:c>
      <x:c r="H40" s="11" t="n">
        <x:f>C40</x:f>
        <x:v>0</x:v>
      </x:c>
      <x:c r="I40" s="11" t="n">
        <x:f>IF(OR(C40=1,D40=1),1,0)</x:f>
        <x:v>1</x:v>
      </x:c>
      <x:c r="J40" s="11" t="n">
        <x:f>IF(AND(OR(C40=1,D40=1),E40=0),1,0)</x:f>
        <x:v>0</x:v>
      </x:c>
      <x:c r="K40" s="11" t="str">
        <x:f>IF(J40=B40,"correct","wrong")</x:f>
        <x:v>correct</x:v>
      </x:c>
    </x:row>
    <x:row r="41">
      <x:c r="A41" s="11" t="str">
        <x:v>D-glucose</x:v>
      </x:c>
      <x:c r="B41" s="11" t="n">
        <x:v>0</x:v>
      </x:c>
      <x:c r="C41" s="11" t="n">
        <x:v>0</x:v>
      </x:c>
      <x:c r="D41" s="11" t="n">
        <x:v>0</x:v>
      </x:c>
      <x:c r="E41" s="11" t="n">
        <x:v>0</x:v>
      </x:c>
      <x:c r="F41" s="11" t="str">
        <x:v>Antibacterial-agent only</x:v>
      </x:c>
      <x:c r="G41" s="11" t="n">
        <x:f>D41</x:f>
        <x:v>0</x:v>
      </x:c>
      <x:c r="H41" s="11" t="n">
        <x:f>C41</x:f>
        <x:v>0</x:v>
      </x:c>
      <x:c r="I41" s="11" t="n">
        <x:f>IF(OR(C41=1,D41=1),1,0)</x:f>
        <x:v>0</x:v>
      </x:c>
      <x:c r="J41" s="11" t="n">
        <x:f>IF(AND(OR(C41=1,D41=1),E41=0),1,0)</x:f>
        <x:v>0</x:v>
      </x:c>
      <x:c r="K41" s="11" t="str">
        <x:f>IF(J41=B41,"correct","wrong")</x:f>
        <x:v>correct</x:v>
      </x:c>
    </x:row>
    <x:row r="42">
      <x:c r="A42" s="11" t="str">
        <x:v>D-sorbitol</x:v>
      </x:c>
      <x:c r="B42" s="11" t="n">
        <x:v>0</x:v>
      </x:c>
      <x:c r="C42" s="11" t="n">
        <x:v>0</x:v>
      </x:c>
      <x:c r="D42" s="11" t="n">
        <x:v>0</x:v>
      </x:c>
      <x:c r="E42" s="11" t="n">
        <x:v>0</x:v>
      </x:c>
      <x:c r="F42" s="11" t="str">
        <x:v>Antibacterial-agent only</x:v>
      </x:c>
      <x:c r="G42" s="11" t="n">
        <x:f>D42</x:f>
        <x:v>0</x:v>
      </x:c>
      <x:c r="H42" s="11" t="n">
        <x:f>C42</x:f>
        <x:v>0</x:v>
      </x:c>
      <x:c r="I42" s="11" t="n">
        <x:f>IF(OR(C42=1,D42=1),1,0)</x:f>
        <x:v>0</x:v>
      </x:c>
      <x:c r="J42" s="11" t="n">
        <x:f>IF(AND(OR(C42=1,D42=1),E42=0),1,0)</x:f>
        <x:v>0</x:v>
      </x:c>
      <x:c r="K42" s="11" t="str">
        <x:f>IF(J42=B42,"correct","wrong")</x:f>
        <x:v>correct</x:v>
      </x:c>
    </x:row>
    <x:row r="43">
      <x:c r="A43" s="11" t="str">
        <x:v>Xylitol</x:v>
      </x:c>
      <x:c r="B43" s="11" t="n">
        <x:v>0</x:v>
      </x:c>
      <x:c r="C43" s="11" t="n">
        <x:v>0</x:v>
      </x:c>
      <x:c r="D43" s="11" t="n">
        <x:v>0</x:v>
      </x:c>
      <x:c r="E43" s="11" t="n">
        <x:v>0</x:v>
      </x:c>
      <x:c r="F43" s="11" t="str">
        <x:v>Antibacterial-agent only</x:v>
      </x:c>
      <x:c r="G43" s="11" t="n">
        <x:f>D43</x:f>
        <x:v>0</x:v>
      </x:c>
      <x:c r="H43" s="11" t="n">
        <x:f>C43</x:f>
        <x:v>0</x:v>
      </x:c>
      <x:c r="I43" s="11" t="n">
        <x:f>IF(OR(C43=1,D43=1),1,0)</x:f>
        <x:v>0</x:v>
      </x:c>
      <x:c r="J43" s="11" t="n">
        <x:f>IF(AND(OR(C43=1,D43=1),E43=0),1,0)</x:f>
        <x:v>0</x:v>
      </x:c>
      <x:c r="K43" s="11" t="str">
        <x:f>IF(J43=B43,"correct","wrong")</x:f>
        <x:v>correct</x:v>
      </x:c>
    </x:row>
    <x:row r="44">
      <x:c r="A44" s="11" t="str">
        <x:v>Formic acid</x:v>
      </x:c>
      <x:c r="B44" s="11" t="n">
        <x:v>0</x:v>
      </x:c>
      <x:c r="C44" s="11" t="n">
        <x:v>0</x:v>
      </x:c>
      <x:c r="D44" s="11" t="n">
        <x:v>0</x:v>
      </x:c>
      <x:c r="E44" s="11" t="n">
        <x:v>0</x:v>
      </x:c>
      <x:c r="F44" s="11" t="str">
        <x:v>Antibacterial-agent only</x:v>
      </x:c>
      <x:c r="G44" s="11" t="n">
        <x:f>D44</x:f>
        <x:v>0</x:v>
      </x:c>
      <x:c r="H44" s="11" t="n">
        <x:f>C44</x:f>
        <x:v>0</x:v>
      </x:c>
      <x:c r="I44" s="11" t="n">
        <x:f>IF(OR(C44=1,D44=1),1,0)</x:f>
        <x:v>0</x:v>
      </x:c>
      <x:c r="J44" s="11" t="n">
        <x:f>IF(AND(OR(C44=1,D44=1),E44=0),1,0)</x:f>
        <x:v>0</x:v>
      </x:c>
      <x:c r="K44" s="11" t="str">
        <x:f>IF(J44=B44,"correct","wrong")</x:f>
        <x:v>correct</x:v>
      </x:c>
    </x:row>
    <x:row r="45">
      <x:c r="A45" s="11" t="str">
        <x:v>Hydrogen peroxide</x:v>
      </x:c>
      <x:c r="B45" s="11" t="n">
        <x:v>0</x:v>
      </x:c>
      <x:c r="C45" s="11" t="n">
        <x:v>0</x:v>
      </x:c>
      <x:c r="D45" s="11" t="n">
        <x:v>0</x:v>
      </x:c>
      <x:c r="E45" s="11" t="n">
        <x:v>0</x:v>
      </x:c>
      <x:c r="F45" s="11" t="str">
        <x:v>Broad antimicrobial only</x:v>
      </x:c>
      <x:c r="G45" s="11" t="n">
        <x:f>D45</x:f>
        <x:v>0</x:v>
      </x:c>
      <x:c r="H45" s="11" t="n">
        <x:f>C45</x:f>
        <x:v>0</x:v>
      </x:c>
      <x:c r="I45" s="11" t="n">
        <x:f>IF(OR(C45=1,D45=1),1,0)</x:f>
        <x:v>0</x:v>
      </x:c>
      <x:c r="J45" s="11" t="n">
        <x:f>IF(AND(OR(C45=1,D45=1),E45=0),1,0)</x:f>
        <x:v>0</x:v>
      </x:c>
      <x:c r="K45" s="11" t="str">
        <x:f>IF(J45=B45,"correct","wrong")</x:f>
        <x:v>correct</x:v>
      </x:c>
    </x:row>
    <x:row r="46">
      <x:c r="A46" s="11" t="str">
        <x:v>Avibactam</x:v>
      </x:c>
      <x:c r="B46" s="11" t="n">
        <x:v>0</x:v>
      </x:c>
      <x:c r="C46" s="11" t="n">
        <x:v>0</x:v>
      </x:c>
      <x:c r="D46" s="11" t="n">
        <x:v>1</x:v>
      </x:c>
      <x:c r="E46" s="11" t="n">
        <x:v>1</x:v>
      </x:c>
      <x:c r="F46" s="11" t="str">
        <x:v>Antibacterial-drug role but antibiotic adjunct</x:v>
      </x:c>
      <x:c r="G46" s="11" t="n">
        <x:f>D46</x:f>
        <x:v>1</x:v>
      </x:c>
      <x:c r="H46" s="11" t="n">
        <x:f>C46</x:f>
        <x:v>0</x:v>
      </x:c>
      <x:c r="I46" s="11" t="n">
        <x:f>IF(OR(C46=1,D46=1),1,0)</x:f>
        <x:v>1</x:v>
      </x:c>
      <x:c r="J46" s="11" t="n">
        <x:f>IF(AND(OR(C46=1,D46=1),E46=0),1,0)</x:f>
        <x:v>0</x:v>
      </x:c>
      <x:c r="K46" s="11" t="str">
        <x:f>IF(J46=B46,"correct","wrong")</x:f>
        <x:v>correct</x:v>
      </x:c>
    </x:row>
  </x:sheetData>
  <x:conditionalFormatting sqref="K2:K46">
    <x:cfRule type="expression" dxfId="7" priority="1">
      <x:formula>K2="wrong"</x:formula>
    </x:cfRule>
    <x:cfRule type="expression" dxfId="8" priority="2">
      <x:formula>K2="correct"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2" hidden="0" customWidth="1"/>
    <x:col min="3" max="3" width="21" hidden="0" customWidth="1"/>
    <x:col min="4" max="4" width="21" hidden="0" customWidth="1"/>
    <x:col min="5" max="5" width="21" hidden="0" customWidth="1"/>
  </x:cols>
  <x:sheetData>
    <x:row r="1">
      <x:c r="A1" s="24" t="str">
        <x:v>Metric</x:v>
      </x:c>
      <x:c r="B1" s="24" t="str">
        <x:v>Rule A: drug role</x:v>
      </x:c>
      <x:c r="C1" s="24" t="str">
        <x:v>Rule B: class</x:v>
      </x:c>
      <x:c r="D1" s="24" t="str">
        <x:v>Rule C: OR</x:v>
      </x:c>
      <x:c r="E1" s="24" t="str">
        <x:v>Rule D: guarded OR</x:v>
      </x:c>
    </x:row>
    <x:row r="2">
      <x:c r="A2" s="11" t="str">
        <x:v>TP</x:v>
      </x:c>
      <x:c r="B2" s="11" t="n">
        <x:f>COUNTIFS('Rule evaluation'!$B$2:$B$46,1,'Rule evaluation'!$G$2:$G$46,1)</x:f>
        <x:v>7</x:v>
      </x:c>
      <x:c r="C2" s="11" t="n">
        <x:f>COUNTIFS('Rule evaluation'!$B$2:$B$46,1,'Rule evaluation'!$H$2:$H$46,1)</x:f>
        <x:v>6</x:v>
      </x:c>
      <x:c r="D2" s="11" t="n">
        <x:f>COUNTIFS('Rule evaluation'!$B$2:$B$46,1,'Rule evaluation'!$I$2:$I$46,1)</x:f>
        <x:v>10</x:v>
      </x:c>
      <x:c r="E2" s="11" t="n">
        <x:f>COUNTIFS('Rule evaluation'!$B$2:$B$46,1,'Rule evaluation'!$J$2:$J$46,1)</x:f>
        <x:v>10</x:v>
      </x:c>
    </x:row>
    <x:row r="3">
      <x:c r="A3" s="11" t="str">
        <x:v>FP</x:v>
      </x:c>
      <x:c r="B3" s="11" t="n">
        <x:f>COUNTIFS('Rule evaluation'!$B$2:$B$46,0,'Rule evaluation'!$G$2:$G$46,1)</x:f>
        <x:v>3</x:v>
      </x:c>
      <x:c r="C3" s="11" t="n">
        <x:f>COUNTIFS('Rule evaluation'!$B$2:$B$46,0,'Rule evaluation'!$H$2:$H$46,1)</x:f>
        <x:v>0</x:v>
      </x:c>
      <x:c r="D3" s="11" t="n">
        <x:f>COUNTIFS('Rule evaluation'!$B$2:$B$46,0,'Rule evaluation'!$I$2:$I$46,1)</x:f>
        <x:v>3</x:v>
      </x:c>
      <x:c r="E3" s="11" t="n">
        <x:f>COUNTIFS('Rule evaluation'!$B$2:$B$46,0,'Rule evaluation'!$J$2:$J$46,1)</x:f>
        <x:v>0</x:v>
      </x:c>
    </x:row>
    <x:row r="4">
      <x:c r="A4" s="11" t="str">
        <x:v>TN</x:v>
      </x:c>
      <x:c r="B4" s="11" t="n">
        <x:f>COUNTIFS('Rule evaluation'!$B$2:$B$46,0,'Rule evaluation'!$G$2:$G$46,0)</x:f>
        <x:v>19</x:v>
      </x:c>
      <x:c r="C4" s="11" t="n">
        <x:f>COUNTIFS('Rule evaluation'!$B$2:$B$46,0,'Rule evaluation'!$H$2:$H$46,0)</x:f>
        <x:v>22</x:v>
      </x:c>
      <x:c r="D4" s="11" t="n">
        <x:f>COUNTIFS('Rule evaluation'!$B$2:$B$46,0,'Rule evaluation'!$I$2:$I$46,0)</x:f>
        <x:v>19</x:v>
      </x:c>
      <x:c r="E4" s="11" t="n">
        <x:f>COUNTIFS('Rule evaluation'!$B$2:$B$46,0,'Rule evaluation'!$J$2:$J$46,0)</x:f>
        <x:v>22</x:v>
      </x:c>
    </x:row>
    <x:row r="5">
      <x:c r="A5" s="11" t="str">
        <x:v>FN</x:v>
      </x:c>
      <x:c r="B5" s="11" t="n">
        <x:f>COUNTIFS('Rule evaluation'!$B$2:$B$46,1,'Rule evaluation'!$G$2:$G$46,0)</x:f>
        <x:v>16</x:v>
      </x:c>
      <x:c r="C5" s="11" t="n">
        <x:f>COUNTIFS('Rule evaluation'!$B$2:$B$46,1,'Rule evaluation'!$H$2:$H$46,0)</x:f>
        <x:v>17</x:v>
      </x:c>
      <x:c r="D5" s="11" t="n">
        <x:f>COUNTIFS('Rule evaluation'!$B$2:$B$46,1,'Rule evaluation'!$I$2:$I$46,0)</x:f>
        <x:v>13</x:v>
      </x:c>
      <x:c r="E5" s="11" t="n">
        <x:f>COUNTIFS('Rule evaluation'!$B$2:$B$46,1,'Rule evaluation'!$J$2:$J$46,0)</x:f>
        <x:v>13</x:v>
      </x:c>
    </x:row>
    <x:row r="6">
      <x:c r="A6" s="11" t="str">
        <x:v>Precision</x:v>
      </x:c>
      <x:c r="B6" s="26" t="n">
        <x:f>IFERROR(B2/(B2+B3),0)</x:f>
        <x:v>0.7</x:v>
      </x:c>
      <x:c r="C6" s="26" t="n">
        <x:f>IFERROR(C2/(C2+C3),0)</x:f>
        <x:v>1</x:v>
      </x:c>
      <x:c r="D6" s="26" t="n">
        <x:f>IFERROR(D2/(D2+D3),0)</x:f>
        <x:v>0.7692307692307693</x:v>
      </x:c>
      <x:c r="E6" s="26" t="n">
        <x:f>IFERROR(E2/(E2+E3),0)</x:f>
        <x:v>1</x:v>
      </x:c>
    </x:row>
    <x:row r="7">
      <x:c r="A7" s="11" t="str">
        <x:v>Recall</x:v>
      </x:c>
      <x:c r="B7" s="26" t="n">
        <x:f>IFERROR(B2/(B2+B5),0)</x:f>
        <x:v>0.30434782608695654</x:v>
      </x:c>
      <x:c r="C7" s="26" t="n">
        <x:f>IFERROR(C2/(C2+C5),0)</x:f>
        <x:v>0.2608695652173913</x:v>
      </x:c>
      <x:c r="D7" s="26" t="n">
        <x:f>IFERROR(D2/(D2+D5),0)</x:f>
        <x:v>0.43478260869565216</x:v>
      </x:c>
      <x:c r="E7" s="26" t="n">
        <x:f>IFERROR(E2/(E2+E5),0)</x:f>
        <x:v>0.43478260869565216</x:v>
      </x:c>
    </x:row>
    <x:row r="8">
      <x:c r="A8" s="11" t="str">
        <x:v>Specificity</x:v>
      </x:c>
      <x:c r="B8" s="26" t="n">
        <x:f>IFERROR(B4/(B4+B3),0)</x:f>
        <x:v>0.8636363636363636</x:v>
      </x:c>
      <x:c r="C8" s="26" t="n">
        <x:f>IFERROR(C4/(C4+C3),0)</x:f>
        <x:v>1</x:v>
      </x:c>
      <x:c r="D8" s="26" t="n">
        <x:f>IFERROR(D4/(D4+D3),0)</x:f>
        <x:v>0.8636363636363636</x:v>
      </x:c>
      <x:c r="E8" s="26" t="n">
        <x:f>IFERROR(E4/(E4+E3),0)</x:f>
        <x:v>1</x:v>
      </x:c>
    </x:row>
    <x:row r="9">
      <x:c r="A9" s="11" t="str">
        <x:v>F1</x:v>
      </x:c>
      <x:c r="B9" s="26" t="n">
        <x:f>IFERROR(2*B6*B7/(B6+B7),0)</x:f>
        <x:v>0.42424242424242425</x:v>
      </x:c>
      <x:c r="C9" s="26" t="n">
        <x:f>IFERROR(2*C6*C7/(C6+C7),0)</x:f>
        <x:v>0.41379310344827586</x:v>
      </x:c>
      <x:c r="D9" s="26" t="n">
        <x:f>IFERROR(2*D6*D7/(D6+D7),0)</x:f>
        <x:v>0.5555555555555555</x:v>
      </x:c>
      <x:c r="E9" s="26" t="n">
        <x:f>IFERROR(2*E6*E7/(E6+E7),0)</x:f>
        <x:v>0.6060606060606061</x:v>
      </x:c>
    </x:row>
    <x:row r="10">
      <x:c r="A10" s="11" t="str">
        <x:v>Coverage of positives</x:v>
      </x:c>
      <x:c r="B10" s="26" t="n">
        <x:f>IFERROR(B2/COUNTIF('Rule evaluation'!$B$2:$B$46,1),0)</x:f>
        <x:v>0.30434782608695654</x:v>
      </x:c>
      <x:c r="C10" s="26" t="n">
        <x:f>IFERROR(C2/COUNTIF('Rule evaluation'!$B$2:$B$46,1),0)</x:f>
        <x:v>0.2608695652173913</x:v>
      </x:c>
      <x:c r="D10" s="26" t="n">
        <x:f>IFERROR(D2/COUNTIF('Rule evaluation'!$B$2:$B$46,1),0)</x:f>
        <x:v>0.43478260869565216</x:v>
      </x:c>
      <x:c r="E10" s="26" t="n">
        <x:f>IFERROR(E2/COUNTIF('Rule evaluation'!$B$2:$B$46,1),0)</x:f>
        <x:v>0.43478260869565216</x:v>
      </x:c>
    </x:row>
    <x:row r="13">
      <x:c r="A13" s="24" t="str">
        <x:v>Interpretation</x:v>
      </x:c>
      <x:c r="B13" s="24" t="str"/>
    </x:row>
    <x:row r="14">
      <x:c r="A14" s="11" t="str">
        <x:v>Best precision on this audited set</x:v>
      </x:c>
      <x:c r="B14" s="11" t="str">
        <x:v>Rule D (guarded OR) removes the three role-only false positives we deliberately included (psilocybin, sodium chloride, avibactam).</x:v>
      </x:c>
    </x:row>
    <x:row r="15">
      <x:c r="A15" s="11" t="str">
        <x:v>Main limitation</x:v>
      </x:c>
      <x:c r="B15" s="11" t="str">
        <x:v>Recall is limited because many genuine antibiotics in the manual set still lack a VERIFIED class/role signal in the current audit. They are false negatives here by design rather than proven ChEBI failures.</x:v>
      </x:c>
    </x:row>
    <x:row r="16">
      <x:c r="A16" s="11" t="str">
        <x:v>Meaning</x:v>
      </x:c>
      <x:c r="B16" s="11" t="str">
        <x:v>The next technical step is not to add more ad-hoc rules; it is to retrieve the complete ChEBI graph programmatically for every positive and negative compound, then rerun this table.</x:v>
      </x:c>
    </x:row>
    <x:row r="17">
      <x:c r="A17" s="11" t="str">
        <x:v>Peptides</x:v>
      </x:c>
      <x:c r="B17" s="11" t="str">
        <x:v>Apidaecin and regulatory peptides are excluded from this small-molecule evaluation and should be handled in a separate peptide track.</x:v>
      </x:c>
    </x:row>
  </x:sheetData>
  <x:pageMargins left="0.7" right="0.7" top="0.75" bottom="0.75" header="0.3" footer="0.3"/>
  <x:drawing xmlns:r="http://schemas.openxmlformats.org/officeDocument/2006/relationships" r:id="Rf8ce5d831557476e"/>
</x:worksheet>
</file>